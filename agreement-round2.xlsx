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/>
  <mc:AlternateContent xmlns:mc="http://schemas.openxmlformats.org/markup-compatibility/2006">
    <mc:Choice Requires="x15">
      <x15ac:absPath xmlns:x15ac="http://schemas.microsoft.com/office/spreadsheetml/2010/11/ac" url="/Users/dalpi001/Library/CloudStorage/GoogleDrive-fabiano.dalpiaz@gmail.com/My Drive/VERSEN-Paper/"/>
    </mc:Choice>
  </mc:AlternateContent>
  <xr:revisionPtr revIDLastSave="0" documentId="13_ncr:1_{6111FD15-850C-294C-8D72-F9C650873514}" xr6:coauthVersionLast="47" xr6:coauthVersionMax="47" xr10:uidLastSave="{00000000-0000-0000-0000-000000000000}"/>
  <bookViews>
    <workbookView xWindow="0" yWindow="760" windowWidth="30240" windowHeight="17680" activeTab="1" xr2:uid="{00000000-000D-0000-FFFF-FFFF00000000}"/>
  </bookViews>
  <sheets>
    <sheet name="Intermediate" sheetId="8" r:id="rId1"/>
    <sheet name="Final" sheetId="1" r:id="rId2"/>
  </sheets>
  <definedNames>
    <definedName name="_xlnm._FilterDatabase" localSheetId="1" hidden="1">Final!$A$1:$R$209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a99qlb97wmVcKiqyr4vOc37PqjhVaN1ecEyLZCL1TAQ="/>
    </ext>
  </extLst>
</workbook>
</file>

<file path=xl/calcChain.xml><?xml version="1.0" encoding="utf-8"?>
<calcChain xmlns="http://schemas.openxmlformats.org/spreadsheetml/2006/main">
  <c r="AH3" i="1" l="1"/>
  <c r="AH4" i="1"/>
  <c r="AH5" i="1"/>
  <c r="AH6" i="1"/>
  <c r="AH7" i="1"/>
  <c r="AH8" i="1"/>
  <c r="AH210" i="1" s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" i="1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" i="8"/>
  <c r="AD211" i="1" l="1"/>
  <c r="AC210" i="1"/>
  <c r="AC211" i="1"/>
  <c r="AE211" i="1"/>
  <c r="AF211" i="1"/>
  <c r="Y211" i="1"/>
  <c r="AB211" i="1"/>
  <c r="AA211" i="1"/>
  <c r="Z210" i="1"/>
  <c r="AG210" i="1"/>
  <c r="V210" i="1"/>
  <c r="W210" i="1"/>
  <c r="U211" i="1"/>
  <c r="AH211" i="1"/>
  <c r="AD210" i="1"/>
  <c r="X211" i="1"/>
  <c r="T210" i="1"/>
  <c r="T211" i="1"/>
  <c r="AG211" i="1"/>
  <c r="AF210" i="1"/>
  <c r="AE210" i="1"/>
  <c r="AB210" i="1"/>
  <c r="AA210" i="1"/>
  <c r="Z211" i="1"/>
  <c r="Y210" i="1"/>
  <c r="X210" i="1"/>
  <c r="W211" i="1"/>
  <c r="V211" i="1"/>
  <c r="U21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6" authorId="0" shapeId="0" xr:uid="{00000000-0006-0000-0000-00003E000000}">
      <text>
        <r>
          <rPr>
            <sz val="10"/>
            <color rgb="FF000000"/>
            <rFont val="Arial"/>
            <family val="2"/>
            <scheme val="minor"/>
          </rPr>
          <t>======
ID#AAABFbFzZEU
tc={A3D7B12F-424C-5844-B3E4-7D3B61758985}    (2024-02-02 09:42:39)
[Threaded comment]
Your version of Excel allows you to read this threaded comment; however, any edits to it will get removed if the file is opened in a newer version of Excel. Learn more: https://go.microsoft.com/fwlink/?linkid=870924
Comment:
    Green: design as MDE</t>
        </r>
      </text>
    </comment>
    <comment ref="I11" authorId="0" shapeId="0" xr:uid="{00000000-0006-0000-0000-00003D000000}">
      <text>
        <r>
          <rPr>
            <sz val="10"/>
            <color rgb="FF000000"/>
            <rFont val="Arial"/>
            <family val="2"/>
            <scheme val="minor"/>
          </rPr>
          <t>======
ID#AAABFbFzZEY
tc={CFDF80B1-C67E-A74D-AA1D-B37B85899938}    (2024-02-02 09:42:39)
[Threaded comment]
Your version of Excel allows you to read this threaded comment; however, any edits to it will get removed if the file is opened in a newer version of Excel. Learn more: https://go.microsoft.com/fwlink/?linkid=870924
Comment:
    By Roberto</t>
        </r>
      </text>
    </comment>
    <comment ref="K11" authorId="0" shapeId="0" xr:uid="{00000000-0006-0000-0000-00004F000000}">
      <text>
        <r>
          <rPr>
            <sz val="10"/>
            <color rgb="FF000000"/>
            <rFont val="Arial"/>
            <family val="2"/>
            <scheme val="minor"/>
          </rPr>
          <t>======
ID#AAABFbFzZC8
tc={09716C4A-14B2-4B40-9C4C-847D4DAF62B3}    (2024-02-02 09:42:38)
[Threaded comment]
Your version of Excel allows you to read this threaded comment; however, any edits to it will get removed if the file is opened in a newer version of Excel. Learn more: https://go.microsoft.com/fwlink/?linkid=870924
Comment:
    By Roberto</t>
        </r>
      </text>
    </comment>
    <comment ref="R14" authorId="0" shapeId="0" xr:uid="{00000000-0006-0000-0000-00002F000000}">
      <text>
        <r>
          <rPr>
            <sz val="10"/>
            <color rgb="FF000000"/>
            <rFont val="Arial"/>
            <family val="2"/>
            <scheme val="minor"/>
          </rPr>
          <t>======
ID#AAABFbFzZFo
tc={08280B12-5AAE-4CEF-81FE-63BBBC3F35FB}    (2024-02-02 09:42:39)
[Threaded comment]
Your version of Excel allows you to read this threaded comment; however, any edits to it will get removed if the file is opened in a newer version of Excel. Learn more: https://go.microsoft.com/fwlink/?linkid=870924
Comment:
    meta programming in Rascal (see RUG, TUE, UvA) is a considerable part (but not other compiler-related topics)</t>
        </r>
      </text>
    </comment>
    <comment ref="H23" authorId="0" shapeId="0" xr:uid="{00000000-0006-0000-0000-000007000000}">
      <text>
        <r>
          <rPr>
            <sz val="10"/>
            <color rgb="FF000000"/>
            <rFont val="Arial"/>
            <family val="2"/>
            <scheme val="minor"/>
          </rPr>
          <t>======
ID#AAABFbFzZIo
tc={B73640A2-4F14-4BE3-89BE-6F91E9D61F1A}    (2024-02-02 09:42:39)
[Threaded comment]
Your version of Excel allows you to read this threaded comment; however, any edits to it will get removed if the file is opened in a newer version of Excel. Learn more: https://go.microsoft.com/fwlink/?linkid=870924
Comment:
    Course in Project cluster: explicit about systematic testing</t>
        </r>
      </text>
    </comment>
    <comment ref="H36" authorId="0" shapeId="0" xr:uid="{00000000-0006-0000-0000-00002E000000}">
      <text>
        <r>
          <rPr>
            <sz val="10"/>
            <color rgb="FF000000"/>
            <rFont val="Arial"/>
            <family val="2"/>
            <scheme val="minor"/>
          </rPr>
          <t>======
ID#AAABFbFzZFs
tc={5317C38F-F20B-46F5-81B4-95B2761443DB}    (2024-02-02 09:42:39)
[Threaded comment]
Your version of Excel allows you to read this threaded comment; however, any edits to it will get removed if the file is opened in a newer version of Excel. Learn more: https://go.microsoft.com/fwlink/?linkid=870924
Comment:
    probably not; mentions unit testing and TDD; also not in learning outcomes</t>
        </r>
      </text>
    </comment>
    <comment ref="L36" authorId="0" shapeId="0" xr:uid="{00000000-0006-0000-0000-000051000000}">
      <text>
        <r>
          <rPr>
            <sz val="10"/>
            <color rgb="FF000000"/>
            <rFont val="Arial"/>
            <family val="2"/>
            <scheme val="minor"/>
          </rPr>
          <t>======
ID#AAABFbFzZCw
tc={D08638EA-7CAC-1E4B-A183-D4B21550BC61}    (2024-02-02 09:42:38)
[Threaded comment]
Your version of Excel allows you to read this threaded comment; however, any edits to it will get removed if the file is opened in a newer version of Excel. Learn more: https://go.microsoft.com/fwlink/?linkid=870924
Comment:
    Removed by Roberto</t>
        </r>
      </text>
    </comment>
    <comment ref="I37" authorId="0" shapeId="0" xr:uid="{00000000-0006-0000-0000-00000A000000}">
      <text>
        <r>
          <rPr>
            <sz val="10"/>
            <color rgb="FF000000"/>
            <rFont val="Arial"/>
            <family val="2"/>
            <scheme val="minor"/>
          </rPr>
          <t>======
ID#AAABFbFzZIc
tc={7FDFE9EF-7CB6-4B48-BBA4-DE16DBC1E21D}    (2024-02-02 09:42:39)
[Threaded comment]
Your version of Excel allows you to read this threaded comment; however, any edits to it will get removed if the file is opened in a newer version of Excel. Learn more: https://go.microsoft.com/fwlink/?linkid=870924
Comment:
    Removed by Roberto</t>
        </r>
      </text>
    </comment>
    <comment ref="K37" authorId="0" shapeId="0" xr:uid="{00000000-0006-0000-0000-000073000000}">
      <text>
        <r>
          <rPr>
            <sz val="10"/>
            <color rgb="FF000000"/>
            <rFont val="Arial"/>
            <family val="2"/>
            <scheme val="minor"/>
          </rPr>
          <t>======
ID#AAABFbFzZAc
tc={B2FD3F32-B429-0E40-BD8A-3B018D31E7A3}    (2024-02-02 09:42:38)
[Threaded comment]
Your version of Excel allows you to read this threaded comment; however, any edits to it will get removed if the file is opened in a newer version of Excel. Learn more: https://go.microsoft.com/fwlink/?linkid=870924
Comment:
    Removed by Roberto</t>
        </r>
      </text>
    </comment>
    <comment ref="H38" authorId="0" shapeId="0" xr:uid="{00000000-0006-0000-0000-000018000000}">
      <text>
        <r>
          <rPr>
            <sz val="10"/>
            <color rgb="FF000000"/>
            <rFont val="Arial"/>
            <family val="2"/>
            <scheme val="minor"/>
          </rPr>
          <t>======
ID#AAABFbFzZHU
tc={0D5B5829-3DB3-41C2-877A-2C563DDFF243}    (2024-02-02 09:42:39)
[Threaded comment]
Your version of Excel allows you to read this threaded comment; however, any edits to it will get removed if the file is opened in a newer version of Excel. Learn more: https://go.microsoft.com/fwlink/?linkid=870924
Comment:
    no mention of testing</t>
        </r>
      </text>
    </comment>
    <comment ref="L39" authorId="0" shapeId="0" xr:uid="{00000000-0006-0000-0000-000072000000}">
      <text>
        <r>
          <rPr>
            <sz val="10"/>
            <color rgb="FF000000"/>
            <rFont val="Arial"/>
            <family val="2"/>
            <scheme val="minor"/>
          </rPr>
          <t>======
ID#AAABFbFzZAg
tc={99741638-40FC-5549-9D25-6F1D14715A42}    (2024-02-02 09:42:38)
[Threaded comment]
Your version of Excel allows you to read this threaded comment; however, any edits to it will get removed if the file is opened in a newer version of Excel. Learn more: https://go.microsoft.com/fwlink/?linkid=870924
Comment:
    Removed by Roberto</t>
        </r>
      </text>
    </comment>
    <comment ref="F40" authorId="0" shapeId="0" xr:uid="{00000000-0006-0000-0000-00006E000000}">
      <text>
        <r>
          <rPr>
            <sz val="10"/>
            <color rgb="FF000000"/>
            <rFont val="Arial"/>
            <family val="2"/>
            <scheme val="minor"/>
          </rPr>
          <t>======
ID#AAABFbFzZAw
tc={FD77A16F-AA6B-474C-A363-2CC3BB672379}    (2024-02-02 09:42:38)
[Threaded comment]
Your version of Excel allows you to read this threaded comment; however, any edits to it will get removed if the file is opened in a newer version of Excel. Learn more: https://go.microsoft.com/fwlink/?linkid=870924
Comment:
    Not sure why design was tagged here</t>
        </r>
      </text>
    </comment>
    <comment ref="K40" authorId="0" shapeId="0" xr:uid="{00000000-0006-0000-0000-000037000000}">
      <text>
        <r>
          <rPr>
            <sz val="10"/>
            <color rgb="FF000000"/>
            <rFont val="Arial"/>
            <family val="2"/>
            <scheme val="minor"/>
          </rPr>
          <t>======
ID#AAABFbFzZE8
tc={D47484C5-00DC-F948-A52C-7797769B5462}    (2024-02-02 09:42:39)
[Threaded comment]
Your version of Excel allows you to read this threaded comment; however, any edits to it will get removed if the file is opened in a newer version of Excel. Learn more: https://go.microsoft.com/fwlink/?linkid=870924
Comment:
    Removed by Roberto</t>
        </r>
      </text>
    </comment>
    <comment ref="I41" authorId="0" shapeId="0" xr:uid="{00000000-0006-0000-0000-000006000000}">
      <text>
        <r>
          <rPr>
            <sz val="10"/>
            <color rgb="FF000000"/>
            <rFont val="Arial"/>
            <family val="2"/>
            <scheme val="minor"/>
          </rPr>
          <t>======
ID#AAABFbFzZIs
tc={39C2872F-FEBE-1A4B-817F-1EAB6A7CE5AA}    (2024-02-02 09:42:39)
[Threaded comment]
Your version of Excel allows you to read this threaded comment; however, any edits to it will get removed if the file is opened in a newer version of Excel. Learn more: https://go.microsoft.com/fwlink/?linkid=870924
Comment:
    Removed by Roberto</t>
        </r>
      </text>
    </comment>
    <comment ref="K41" authorId="0" shapeId="0" xr:uid="{00000000-0006-0000-0000-000042000000}">
      <text>
        <r>
          <rPr>
            <sz val="10"/>
            <color rgb="FF000000"/>
            <rFont val="Arial"/>
            <family val="2"/>
            <scheme val="minor"/>
          </rPr>
          <t>======
ID#AAABFbFzZEE
tc={E295AFA7-9FCC-F048-8D4C-0E2EFFBA93E2}    (2024-02-02 09:42:39)
[Threaded comment]
Your version of Excel allows you to read this threaded comment; however, any edits to it will get removed if the file is opened in a newer version of Excel. Learn more: https://go.microsoft.com/fwlink/?linkid=870924
Comment:
    Removed by Roberto</t>
        </r>
      </text>
    </comment>
    <comment ref="E42" authorId="0" shapeId="0" xr:uid="{00000000-0006-0000-0000-000030000000}">
      <text>
        <r>
          <rPr>
            <sz val="10"/>
            <color rgb="FF000000"/>
            <rFont val="Arial"/>
            <family val="2"/>
            <scheme val="minor"/>
          </rPr>
          <t>======
ID#AAABFbFzZFk
tc={207B72B5-E90C-034A-9A92-0C1BB7970FCB}    (2024-02-02 09:42:39)
[Threaded comment]
Your version of Excel allows you to read this threaded comment; however, any edits to it will get removed if the file is opened in a newer version of Excel. Learn more: https://go.microsoft.com/fwlink/?linkid=870924
Comment:
    This was not SW archi</t>
        </r>
      </text>
    </comment>
    <comment ref="I42" authorId="0" shapeId="0" xr:uid="{00000000-0006-0000-0000-000036000000}">
      <text>
        <r>
          <rPr>
            <sz val="10"/>
            <color rgb="FF000000"/>
            <rFont val="Arial"/>
            <family val="2"/>
            <scheme val="minor"/>
          </rPr>
          <t>======
ID#AAABFbFzZFA
tc={B8F61823-1250-2B46-972F-9F3C4BA9B444}    (2024-02-02 09:42:39)
[Threaded comment]
Your version of Excel allows you to read this threaded comment; however, any edits to it will get removed if the file is opened in a newer version of Excel. Learn more: https://go.microsoft.com/fwlink/?linkid=870924
Comment:
    Removed by Roberto</t>
        </r>
      </text>
    </comment>
    <comment ref="I43" authorId="0" shapeId="0" xr:uid="{00000000-0006-0000-0000-00007C000000}">
      <text>
        <r>
          <rPr>
            <sz val="10"/>
            <color rgb="FF000000"/>
            <rFont val="Arial"/>
            <family val="2"/>
            <scheme val="minor"/>
          </rPr>
          <t>======
ID#AAABFbFzY_0
tc={89554EA1-C3A0-334C-8A03-678135ACC4AB}    (2024-02-02 09:42:38)
[Threaded comment]
Your version of Excel allows you to read this threaded comment; however, any edits to it will get removed if the file is opened in a newer version of Excel. Learn more: https://go.microsoft.com/fwlink/?linkid=870924
Comment:
    Removed</t>
        </r>
      </text>
    </comment>
    <comment ref="K43" authorId="0" shapeId="0" xr:uid="{00000000-0006-0000-0000-00005F000000}">
      <text>
        <r>
          <rPr>
            <sz val="10"/>
            <color rgb="FF000000"/>
            <rFont val="Arial"/>
            <family val="2"/>
            <scheme val="minor"/>
          </rPr>
          <t>======
ID#AAABFbFzZBs
tc={59D18494-BA48-4A41-A49F-CBB5835ADEEB}    (2024-02-02 09:42:38)
[Threaded comment]
Your version of Excel allows you to read this threaded comment; however, any edits to it will get removed if the file is opened in a newer version of Excel. Learn more: https://go.microsoft.com/fwlink/?linkid=870924
Comment:
    Removed</t>
        </r>
      </text>
    </comment>
    <comment ref="G44" authorId="0" shapeId="0" xr:uid="{00000000-0006-0000-0000-000003000000}">
      <text>
        <r>
          <rPr>
            <sz val="10"/>
            <color rgb="FF000000"/>
            <rFont val="Arial"/>
            <family val="2"/>
            <scheme val="minor"/>
          </rPr>
          <t>======
ID#AAABFbFzZI8
tc={E6675732-14C8-904E-A727-0074980D4EF5}    (2024-02-02 09:42:39)
[Threaded comment]
Your version of Excel allows you to read this threaded comment; however, any edits to it will get removed if the file is opened in a newer version of Excel. Learn more: https://go.microsoft.com/fwlink/?linkid=870924
Comment:
    No additional knowledge about C&amp;P</t>
        </r>
      </text>
    </comment>
    <comment ref="R44" authorId="0" shapeId="0" xr:uid="{00000000-0006-0000-0000-000028000000}">
      <text>
        <r>
          <rPr>
            <sz val="10"/>
            <color rgb="FF000000"/>
            <rFont val="Arial"/>
            <family val="2"/>
            <scheme val="minor"/>
          </rPr>
          <t>======
ID#AAABFbFzZGI
tc={9779DDC6-1FBB-F349-94E0-D4A0C79B23A0}    (2024-02-02 09:42:39)
[Threaded comment]
Your version of Excel allows you to read this threaded comment; however, any edits to it will get removed if the file is opened in a newer version of Excel. Learn more: https://go.microsoft.com/fwlink/?linkid=870924
Comment:
    Removed by FD</t>
        </r>
      </text>
    </comment>
    <comment ref="I45" authorId="0" shapeId="0" xr:uid="{00000000-0006-0000-0000-000079000000}">
      <text>
        <r>
          <rPr>
            <sz val="10"/>
            <color rgb="FF000000"/>
            <rFont val="Arial"/>
            <family val="2"/>
            <scheme val="minor"/>
          </rPr>
          <t>======
ID#AAABFbFzZAE
tc={86385F74-57BC-7142-9E6F-2C904DC0A73E}    (2024-02-02 09:42:38)
[Threaded comment]
Your version of Excel allows you to read this threaded comment; however, any edits to it will get removed if the file is opened in a newer version of Excel. Learn more: https://go.microsoft.com/fwlink/?linkid=870924
Comment:
    Removed by Roberto</t>
        </r>
      </text>
    </comment>
    <comment ref="K45" authorId="0" shapeId="0" xr:uid="{00000000-0006-0000-0000-000012000000}">
      <text>
        <r>
          <rPr>
            <sz val="10"/>
            <color rgb="FF000000"/>
            <rFont val="Arial"/>
            <family val="2"/>
            <scheme val="minor"/>
          </rPr>
          <t>======
ID#AAABFbFzZH4
tc={614DBB99-C33E-D44F-9F5B-E7D72E5F5920}    (2024-02-02 09:42:39)
[Threaded comment]
Your version of Excel allows you to read this threaded comment; however, any edits to it will get removed if the file is opened in a newer version of Excel. Learn more: https://go.microsoft.com/fwlink/?linkid=870924
Comment:
    Removed by Roberto</t>
        </r>
      </text>
    </comment>
    <comment ref="E50" authorId="0" shapeId="0" xr:uid="{00000000-0006-0000-0000-000009000000}">
      <text>
        <r>
          <rPr>
            <sz val="10"/>
            <color rgb="FF000000"/>
            <rFont val="Arial"/>
            <family val="2"/>
            <scheme val="minor"/>
          </rPr>
          <t>======
ID#AAABFbFzZIg
tc={1379197F-FCBD-3140-9DCC-DEB1239829F1}    (2024-02-02 09:42:39)
[Threaded comment]
Your version of Excel allows you to read this threaded comment; however, any edits to it will get removed if the file is opened in a newer version of Excel. Learn more: https://go.microsoft.com/fwlink/?linkid=870924
Comment:
    Same as parallel computing</t>
        </r>
      </text>
    </comment>
    <comment ref="L51" authorId="0" shapeId="0" xr:uid="{00000000-0006-0000-0000-000081000000}">
      <text>
        <r>
          <rPr>
            <sz val="10"/>
            <color rgb="FF000000"/>
            <rFont val="Arial"/>
            <family val="2"/>
            <scheme val="minor"/>
          </rPr>
          <t>======
ID#AAABFbFzY_Y
tc={AEB2243D-362A-8942-A49F-069DE5DC4EF3}    (2024-02-02 09:42:38)
[Threaded comment]
Your version of Excel allows you to read this threaded comment; however, any edits to it will get removed if the file is opened in a newer version of Excel. Learn more: https://go.microsoft.com/fwlink/?linkid=870924
Comment:
    Added by FD to replace SE practice</t>
        </r>
      </text>
    </comment>
    <comment ref="G54" authorId="0" shapeId="0" xr:uid="{00000000-0006-0000-0000-000071000000}">
      <text>
        <r>
          <rPr>
            <sz val="10"/>
            <color rgb="FF000000"/>
            <rFont val="Arial"/>
            <family val="2"/>
            <scheme val="minor"/>
          </rPr>
          <t>======
ID#AAABFbFzZAk
tc={31E4415B-47C3-4AB2-8F38-E13DC7C37C8A}    (2024-02-02 09:42:38)
[Threaded comment]
Your version of Excel allows you to read this threaded comment; however, any edits to it will get removed if the file is opened in a newer version of Excel. Learn more: https://go.microsoft.com/fwlink/?linkid=870924
Comment:
    prior knowledge in programming is expected (and not extended)</t>
        </r>
      </text>
    </comment>
    <comment ref="J55" authorId="0" shapeId="0" xr:uid="{00000000-0006-0000-0000-00004D000000}">
      <text>
        <r>
          <rPr>
            <sz val="10"/>
            <color rgb="FF000000"/>
            <rFont val="Arial"/>
            <family val="2"/>
            <scheme val="minor"/>
          </rPr>
          <t>======
ID#AAABFbFzZDI
tc={2373EC40-D3C6-D249-9A1C-9A6083312939}    (2024-02-02 09:42:38)
[Threaded comment]
Your version of Excel allows you to read this threaded comment; however, any edits to it will get removed if the file is opened in a newer version of Excel. Learn more: https://go.microsoft.com/fwlink/?linkid=870924
Comment:
    Explicitly talks of evolving an architecture</t>
        </r>
      </text>
    </comment>
    <comment ref="D56" authorId="0" shapeId="0" xr:uid="{00000000-0006-0000-0000-00005E000000}">
      <text>
        <r>
          <rPr>
            <sz val="10"/>
            <color rgb="FF000000"/>
            <rFont val="Arial"/>
            <family val="2"/>
            <scheme val="minor"/>
          </rPr>
          <t>======
ID#AAABFbFzZBw
tc={76C8B9D9-919A-8347-B26A-C7CE9C99BB51}    (2024-02-02 09:42:38)
[Threaded comment]
Your version of Excel allows you to read this threaded comment; however, any edits to it will get removed if the file is opened in a newer version of Excel. Learn more: https://go.microsoft.com/fwlink/?linkid=870924
Comment:
    Removed: reqs may be implicit, but…</t>
        </r>
      </text>
    </comment>
    <comment ref="G56" authorId="0" shapeId="0" xr:uid="{00000000-0006-0000-0000-000017000000}">
      <text>
        <r>
          <rPr>
            <sz val="10"/>
            <color rgb="FF000000"/>
            <rFont val="Arial"/>
            <family val="2"/>
            <scheme val="minor"/>
          </rPr>
          <t>======
ID#AAABFbFzZHc
tc={75DDDD2C-6E89-9D43-A51F-E340174BE23B}    (2024-02-02 09:42:39)
[Threaded comment]
Your version of Excel allows you to read this threaded comment; however, any edits to it will get removed if the file is opened in a newer version of Excel. Learn more: https://go.microsoft.com/fwlink/?linkid=870924
Comment:
    Programming is BG knowledge</t>
        </r>
      </text>
    </comment>
    <comment ref="H56" authorId="0" shapeId="0" xr:uid="{00000000-0006-0000-0000-000055000000}">
      <text>
        <r>
          <rPr>
            <sz val="10"/>
            <color rgb="FF000000"/>
            <rFont val="Arial"/>
            <family val="2"/>
            <scheme val="minor"/>
          </rPr>
          <t>======
ID#AAABFbFzZCY
tc={D4763BE7-AF25-4617-8174-3304F6106C0E}    (2024-02-02 09:42:38)
[Threaded comment]
Your version of Excel allows you to read this threaded comment; however, any edits to it will get removed if the file is opened in a newer version of Excel. Learn more: https://go.microsoft.com/fwlink/?linkid=870924
Comment:
    no, only testing in the context of the software life cycle</t>
        </r>
      </text>
    </comment>
    <comment ref="E57" authorId="0" shapeId="0" xr:uid="{00000000-0006-0000-0000-00006B000000}">
      <text>
        <r>
          <rPr>
            <sz val="10"/>
            <color rgb="FF000000"/>
            <rFont val="Arial"/>
            <family val="2"/>
            <scheme val="minor"/>
          </rPr>
          <t>======
ID#AAABFbFzZA8
tc={BD5F399C-5FAF-E24C-BEDC-CE7E1B35D4E9}    (2024-02-02 09:42:38)
[Threaded comment]
Your version of Excel allows you to read this threaded comment; however, any edits to it will get removed if the file is opened in a newer version of Excel. Learn more: https://go.microsoft.com/fwlink/?linkid=870924
Comment:
    Talks about architecting best practices</t>
        </r>
      </text>
    </comment>
    <comment ref="I58" authorId="0" shapeId="0" xr:uid="{00000000-0006-0000-0000-000050000000}">
      <text>
        <r>
          <rPr>
            <sz val="10"/>
            <color rgb="FF000000"/>
            <rFont val="Arial"/>
            <family val="2"/>
            <scheme val="minor"/>
          </rPr>
          <t>======
ID#AAABFbFzZC0
tc={39C25288-49BC-B04A-9709-284791B2AE0C}    (2024-02-02 09:42:38)
[Threaded comment]
Your version of Excel allows you to read this threaded comment; however, any edits to it will get removed if the file is opened in a newer version of Excel. Learn more: https://go.microsoft.com/fwlink/?linkid=870924
Comment:
    Added by FD</t>
        </r>
      </text>
    </comment>
    <comment ref="R60" authorId="0" shapeId="0" xr:uid="{00000000-0006-0000-0000-00000B000000}">
      <text>
        <r>
          <rPr>
            <sz val="10"/>
            <color rgb="FF000000"/>
            <rFont val="Arial"/>
            <family val="2"/>
            <scheme val="minor"/>
          </rPr>
          <t>======
ID#AAABFbFzZIY
tc={0D425751-3D69-724F-A31D-B1648CF7C353}    (2024-02-02 09:42:39)
[Threaded comment]
Your version of Excel allows you to read this threaded comment; however, any edits to it will get removed if the file is opened in a newer version of Excel. Learn more: https://go.microsoft.com/fwlink/?linkid=870924
Comment:
    Removed</t>
        </r>
      </text>
    </comment>
    <comment ref="H61" authorId="0" shapeId="0" xr:uid="{00000000-0006-0000-0000-000022000000}">
      <text>
        <r>
          <rPr>
            <sz val="10"/>
            <color rgb="FF000000"/>
            <rFont val="Arial"/>
            <family val="2"/>
            <scheme val="minor"/>
          </rPr>
          <t>======
ID#AAABFbFzZGk
tc={D3082DCD-424D-4C55-AAD9-B31BD3BC202D}    (2024-02-02 09:42:39)
[Threaded comment]
Your version of Excel allows you to read this threaded comment; however, any edits to it will get removed if the file is opened in a newer version of Excel. Learn more: https://go.microsoft.com/fwlink/?linkid=870924
Comment:
    unit testing only</t>
        </r>
      </text>
    </comment>
    <comment ref="R61" authorId="0" shapeId="0" xr:uid="{00000000-0006-0000-0000-00002D000000}">
      <text>
        <r>
          <rPr>
            <sz val="10"/>
            <color rgb="FF000000"/>
            <rFont val="Arial"/>
            <family val="2"/>
            <scheme val="minor"/>
          </rPr>
          <t>======
ID#AAABFbFzZFw
tc={97D224D0-8085-5542-838E-7FD87663E4DE}    (2024-02-02 09:42:39)
[Threaded comment]
Your version of Excel allows you to read this threaded comment; however, any edits to it will get removed if the file is opened in a newer version of Excel. Learn more: https://go.microsoft.com/fwlink/?linkid=870924
Comment:
    Removed</t>
        </r>
      </text>
    </comment>
    <comment ref="G62" authorId="0" shapeId="0" xr:uid="{00000000-0006-0000-0000-000063000000}">
      <text>
        <r>
          <rPr>
            <sz val="10"/>
            <color rgb="FF000000"/>
            <rFont val="Arial"/>
            <family val="2"/>
            <scheme val="minor"/>
          </rPr>
          <t>======
ID#AAABFbFzZBc
tc={071A3D35-5ABB-1240-8ECC-E34310040105}    (2024-02-02 09:42:38)
[Threaded comment]
Your version of Excel allows you to read this threaded comment; however, any edits to it will get removed if the file is opened in a newer version of Excel. Learn more: https://go.microsoft.com/fwlink/?linkid=870924
Comment:
    The focus is on verification via Dafny: no extra programming knowledge is delivered.</t>
        </r>
      </text>
    </comment>
    <comment ref="H62" authorId="0" shapeId="0" xr:uid="{00000000-0006-0000-0000-00004A000000}">
      <text>
        <r>
          <rPr>
            <sz val="10"/>
            <color rgb="FF000000"/>
            <rFont val="Arial"/>
            <family val="2"/>
            <scheme val="minor"/>
          </rPr>
          <t>======
ID#AAABFbFzZDY
tc={5D56F2B1-6366-4B14-88F1-A6E7893C955B}    (2024-02-02 09:42:38)
[Threaded comment]
Your version of Excel allows you to read this threaded comment; however, any edits to it will get removed if the file is opened in a newer version of Excel. Learn more: https://go.microsoft.com/fwlink/?linkid=870924
Comment:
    verification techniques (beyond testing)</t>
        </r>
      </text>
    </comment>
    <comment ref="R62" authorId="0" shapeId="0" xr:uid="{00000000-0006-0000-0000-00004C000000}">
      <text>
        <r>
          <rPr>
            <sz val="10"/>
            <color rgb="FF000000"/>
            <rFont val="Arial"/>
            <family val="2"/>
            <scheme val="minor"/>
          </rPr>
          <t>======
ID#AAABFbFzZDM
tc={F0E2A8F7-0A08-3D47-B796-9AD6E9528AED}    (2024-02-02 09:42:38)
[Threaded comment]
Your version of Excel allows you to read this threaded comment; however, any edits to it will get removed if the file is opened in a newer version of Excel. Learn more: https://go.microsoft.com/fwlink/?linkid=870924
Comment:
    Removed by FD</t>
        </r>
      </text>
    </comment>
    <comment ref="G63" authorId="0" shapeId="0" xr:uid="{00000000-0006-0000-0000-000039000000}">
      <text>
        <r>
          <rPr>
            <sz val="10"/>
            <color rgb="FF000000"/>
            <rFont val="Arial"/>
            <family val="2"/>
            <scheme val="minor"/>
          </rPr>
          <t>======
ID#AAABFbFzZEs
tc={C74F4B9E-AA4D-1E44-B70C-78B34DB0CB3C}    (2024-02-02 09:42:39)
[Threaded comment]
Your version of Excel allows you to read this threaded comment; however, any edits to it will get removed if the file is opened in a newer version of Excel. Learn more: https://go.microsoft.com/fwlink/?linkid=870924
Comment:
    Stops before construction</t>
        </r>
      </text>
    </comment>
    <comment ref="H63" authorId="0" shapeId="0" xr:uid="{00000000-0006-0000-0000-000045000000}">
      <text>
        <r>
          <rPr>
            <sz val="10"/>
            <color rgb="FF000000"/>
            <rFont val="Arial"/>
            <family val="2"/>
            <scheme val="minor"/>
          </rPr>
          <t>======
ID#AAABFbFzZD0
tc={2DC3769D-004F-3240-B709-52AA9A70505D}    (2024-02-02 09:42:38)
[Threaded comment]
Your version of Excel allows you to read this threaded comment; however, any edits to it will get removed if the file is opened in a newer version of Excel. Learn more: https://go.microsoft.com/fwlink/?linkid=870924
Comment:
    Removed</t>
        </r>
      </text>
    </comment>
    <comment ref="J63" authorId="0" shapeId="0" xr:uid="{00000000-0006-0000-0000-00003F000000}">
      <text>
        <r>
          <rPr>
            <sz val="10"/>
            <color rgb="FF000000"/>
            <rFont val="Arial"/>
            <family val="2"/>
            <scheme val="minor"/>
          </rPr>
          <t>======
ID#AAABFbFzZEQ
tc={5C98A3B4-6450-8A48-98F3-AEEF3081D31F}    (2024-02-02 09:42:39)
[Threaded comment]
Your version of Excel allows you to read this threaded comment; however, any edits to it will get removed if the file is opened in a newer version of Excel. Learn more: https://go.microsoft.com/fwlink/?linkid=870924
Comment:
    Removed by FD: it doesn’t look like correct</t>
        </r>
      </text>
    </comment>
    <comment ref="K63" authorId="0" shapeId="0" xr:uid="{00000000-0006-0000-0000-000054000000}">
      <text>
        <r>
          <rPr>
            <sz val="10"/>
            <color rgb="FF000000"/>
            <rFont val="Arial"/>
            <family val="2"/>
            <scheme val="minor"/>
          </rPr>
          <t>======
ID#AAABFbFzZCg
tc={7B3ACA3F-1CFD-8C46-BEAF-48305BDC7ED0}    (2024-02-02 09:42:38)
[Threaded comment]
Your version of Excel allows you to read this threaded comment; however, any edits to it will get removed if the file is opened in a newer version of Excel. Learn more: https://go.microsoft.com/fwlink/?linkid=870924
Comment:
    Removed by Roberto</t>
        </r>
      </text>
    </comment>
    <comment ref="H64" authorId="0" shapeId="0" xr:uid="{00000000-0006-0000-0000-00006F000000}">
      <text>
        <r>
          <rPr>
            <sz val="10"/>
            <color rgb="FF000000"/>
            <rFont val="Arial"/>
            <family val="2"/>
          </rPr>
          <t xml:space="preserve">======
</t>
        </r>
        <r>
          <rPr>
            <sz val="10"/>
            <color rgb="FF000000"/>
            <rFont val="Arial"/>
            <family val="2"/>
          </rPr>
          <t xml:space="preserve">ID#AAABFbFzZAs
</t>
        </r>
        <r>
          <rPr>
            <sz val="10"/>
            <color rgb="FF000000"/>
            <rFont val="Arial"/>
            <family val="2"/>
          </rPr>
          <t xml:space="preserve">tc={7D0FEFC3-3D74-4147-ACEC-5328A758D9D3}    (2024-02-02 09:42:38)
</t>
        </r>
        <r>
          <rPr>
            <sz val="10"/>
            <color rgb="FF000000"/>
            <rFont val="Arial"/>
            <family val="2"/>
          </rPr>
          <t xml:space="preserve">[Threaded comment]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Comment:
</t>
        </r>
        <r>
          <rPr>
            <sz val="10"/>
            <color rgb="FF000000"/>
            <rFont val="Arial"/>
            <family val="2"/>
          </rPr>
          <t xml:space="preserve">    programming course, mostly unit testing</t>
        </r>
      </text>
    </comment>
    <comment ref="J64" authorId="0" shapeId="0" xr:uid="{00000000-0006-0000-0000-00001C000000}">
      <text>
        <r>
          <rPr>
            <sz val="10"/>
            <color rgb="FF000000"/>
            <rFont val="Arial"/>
            <family val="2"/>
            <scheme val="minor"/>
          </rPr>
          <t>======
ID#AAABFbFzZHA
tc={4610BCA4-E703-5540-956C-E5350539690A}    (2024-02-02 09:42:39)
[Threaded comment]
Your version of Excel allows you to read this threaded comment; however, any edits to it will get removed if the file is opened in a newer version of Excel. Learn more: https://go.microsoft.com/fwlink/?linkid=870924
Comment:
    Removed by Roberto</t>
        </r>
      </text>
    </comment>
    <comment ref="D67" authorId="0" shapeId="0" xr:uid="{00000000-0006-0000-0000-000011000000}">
      <text>
        <r>
          <rPr>
            <sz val="10"/>
            <color rgb="FF000000"/>
            <rFont val="Arial"/>
            <family val="2"/>
            <scheme val="minor"/>
          </rPr>
          <t>======
ID#AAABFbFzZH8
tc={49E49830-049E-E344-AFDB-13DDAF4A9D82}    (2024-02-02 09:42:39)
[Threaded comment]
Your version of Excel allows you to read this threaded comment; however, any edits to it will get removed if the file is opened in a newer version of Excel. Learn more: https://go.microsoft.com/fwlink/?linkid=870924
Comment:
    Removed</t>
        </r>
      </text>
    </comment>
    <comment ref="F67" authorId="0" shapeId="0" xr:uid="{00000000-0006-0000-0000-000035000000}">
      <text>
        <r>
          <rPr>
            <sz val="10"/>
            <color rgb="FF000000"/>
            <rFont val="Arial"/>
            <family val="2"/>
            <scheme val="minor"/>
          </rPr>
          <t>======
ID#AAABFbFzZFE
tc={E633C5AD-E334-5B4C-B3FA-D308A3F5B097}    (2024-02-02 09:42:39)
[Threaded comment]
Your version of Excel allows you to read this threaded comment; however, any edits to it will get removed if the file is opened in a newer version of Excel. Learn more: https://go.microsoft.com/fwlink/?linkid=870924
Comment:
    Removed: PL design is not SW design</t>
        </r>
      </text>
    </comment>
    <comment ref="F69" authorId="0" shapeId="0" xr:uid="{00000000-0006-0000-0000-000061000000}">
      <text>
        <r>
          <rPr>
            <sz val="10"/>
            <color rgb="FF000000"/>
            <rFont val="Arial"/>
            <family val="2"/>
            <scheme val="minor"/>
          </rPr>
          <t>======
ID#AAABFbFzZBk
tc={6EF0704B-5BB2-A048-A3AD-EF5BB3BD8346}    (2024-02-02 09:42:38)
[Threaded comment]
Your version of Excel allows you to read this threaded comment; however, any edits to it will get removed if the file is opened in a newer version of Excel. Learn more: https://go.microsoft.com/fwlink/?linkid=870924
Comment:
    Removed by FD</t>
        </r>
      </text>
    </comment>
    <comment ref="G69" authorId="0" shapeId="0" xr:uid="{00000000-0006-0000-0000-000029000000}">
      <text>
        <r>
          <rPr>
            <sz val="10"/>
            <color rgb="FF000000"/>
            <rFont val="Arial"/>
            <family val="2"/>
            <scheme val="minor"/>
          </rPr>
          <t>======
ID#AAABFbFzZGA
tc={71FA0B18-27E9-BC45-9369-48E0DF106037}    (2024-02-02 09:42:39)
[Threaded comment]
Your version of Excel allows you to read this threaded comment; however, any edits to it will get removed if the file is opened in a newer version of Excel. Learn more: https://go.microsoft.com/fwlink/?linkid=870924
Comment:
    Only verification</t>
        </r>
      </text>
    </comment>
    <comment ref="H69" authorId="0" shapeId="0" xr:uid="{00000000-0006-0000-0000-00000F000000}">
      <text>
        <r>
          <rPr>
            <sz val="10"/>
            <color rgb="FF000000"/>
            <rFont val="Arial"/>
            <family val="2"/>
            <scheme val="minor"/>
          </rPr>
          <t>======
ID#AAABFbFzZII
tc={F0852276-EE26-4248-8825-562D042864A7}    (2024-02-02 09:42:39)
[Threaded comment]
Your version of Excel allows you to read this threaded comment; however, any edits to it will get removed if the file is opened in a newer version of Excel. Learn more: https://go.microsoft.com/fwlink/?linkid=870924
Comment:
    Verification course that mentions automatic test suite generator. Let's keep it in. Relevant because it talks about test suite.</t>
        </r>
      </text>
    </comment>
    <comment ref="H70" authorId="0" shapeId="0" xr:uid="{00000000-0006-0000-0000-000078000000}">
      <text>
        <r>
          <rPr>
            <sz val="10"/>
            <color rgb="FF000000"/>
            <rFont val="Arial"/>
            <family val="2"/>
            <scheme val="minor"/>
          </rPr>
          <t>======
ID#AAABFbFzZAI
tc={125A6B8E-270C-417E-BDA3-39087E62B4E2}    (2024-02-02 09:42:38)
[Threaded comment]
Your version of Excel allows you to read this threaded comment; however, any edits to it will get removed if the file is opened in a newer version of Excel. Learn more: https://go.microsoft.com/fwlink/?linkid=870924
Comment:
    description does not mention testing</t>
        </r>
      </text>
    </comment>
    <comment ref="E72" authorId="0" shapeId="0" xr:uid="{00000000-0006-0000-0000-000008000000}">
      <text>
        <r>
          <rPr>
            <sz val="10"/>
            <color rgb="FF000000"/>
            <rFont val="Arial"/>
            <family val="2"/>
            <scheme val="minor"/>
          </rPr>
          <t>======
ID#AAABFbFzZIk
tc={FD8AA6C5-2B7D-A846-832A-B030DF9BC1DC}    (2024-02-02 09:42:39)
[Threaded comment]
Your version of Excel allows you to read this threaded comment; however, any edits to it will get removed if the file is opened in a newer version of Excel. Learn more: https://go.microsoft.com/fwlink/?linkid=870924
Comment:
    Labeled based on course description</t>
        </r>
      </text>
    </comment>
    <comment ref="Q73" authorId="0" shapeId="0" xr:uid="{00000000-0006-0000-0000-00002A000000}">
      <text>
        <r>
          <rPr>
            <sz val="10"/>
            <color rgb="FF000000"/>
            <rFont val="Arial"/>
            <family val="2"/>
            <scheme val="minor"/>
          </rPr>
          <t>======
ID#AAABFbFzZF8
tc={37A49A4B-7849-4982-ACFF-ED76AD42446B}    (2024-02-02 09:42:39)
[Threaded comment]
Your version of Excel allows you to read this threaded comment; however, any edits to it will get removed if the file is opened in a newer version of Excel. Learn more: https://go.microsoft.com/fwlink/?linkid=870924
Comment:
    no clear evidence for verification</t>
        </r>
      </text>
    </comment>
    <comment ref="R74" authorId="0" shapeId="0" xr:uid="{00000000-0006-0000-0000-000023000000}">
      <text>
        <r>
          <rPr>
            <sz val="10"/>
            <color rgb="FF000000"/>
            <rFont val="Arial"/>
            <family val="2"/>
            <scheme val="minor"/>
          </rPr>
          <t>======
ID#AAABFbFzZGg
tc={2A104385-46A9-B34C-9B70-48AEE8280087}    (2024-02-02 09:42:39)
[Threaded comment]
Your version of Excel allows you to read this threaded comment; however, any edits to it will get removed if the file is opened in a newer version of Excel. Learn more: https://go.microsoft.com/fwlink/?linkid=870924
Comment:
    AGDA is used for verification, but the major component is FP.</t>
        </r>
      </text>
    </comment>
    <comment ref="H75" authorId="0" shapeId="0" xr:uid="{00000000-0006-0000-0000-000021000000}">
      <text>
        <r>
          <rPr>
            <sz val="10"/>
            <color rgb="FF000000"/>
            <rFont val="Arial"/>
            <family val="2"/>
            <scheme val="minor"/>
          </rPr>
          <t>======
ID#AAABFbFzZGo
tc={E69B421A-AC16-45B4-9CE8-C07B84244223}    (2024-02-02 09:42:39)
[Threaded comment]
Your version of Excel allows you to read this threaded comment; however, any edits to it will get removed if the file is opened in a newer version of Excel. Learn more: https://go.microsoft.com/fwlink/?linkid=870924
Comment:
    only unit testing</t>
        </r>
      </text>
    </comment>
    <comment ref="G84" authorId="0" shapeId="0" xr:uid="{00000000-0006-0000-0000-000068000000}">
      <text>
        <r>
          <rPr>
            <sz val="10"/>
            <color rgb="FF000000"/>
            <rFont val="Arial"/>
            <family val="2"/>
            <scheme val="minor"/>
          </rPr>
          <t>======
ID#AAABFbFzZBI
tc={5517E282-8448-4A8B-8BCF-D4393D3E3D54}    (2024-02-02 09:42:38)
[Threaded comment]
Your version of Excel allows you to read this threaded comment; however, any edits to it will get removed if the file is opened in a newer version of Excel. Learn more: https://go.microsoft.com/fwlink/?linkid=870924
Comment:
    techniques also have to be implemented and this extends programming knowledge</t>
        </r>
      </text>
    </comment>
    <comment ref="Q84" authorId="0" shapeId="0" xr:uid="{00000000-0006-0000-0000-00003C000000}">
      <text>
        <r>
          <rPr>
            <sz val="10"/>
            <color rgb="FF000000"/>
            <rFont val="Arial"/>
            <family val="2"/>
            <scheme val="minor"/>
          </rPr>
          <t>======
ID#AAABFbFzZEc
tc={47EE97B6-E597-46E5-ADBC-17FEBE48FC04}    (2024-02-02 09:42:39)
[Threaded comment]
Your version of Excel allows you to read this threaded comment; however, any edits to it will get removed if the file is opened in a newer version of Excel. Learn more: https://go.microsoft.com/fwlink/?linkid=870924
Comment:
    border-line. Focus is on PL design. Program analysis, but not verification or proofs</t>
        </r>
      </text>
    </comment>
    <comment ref="R87" authorId="0" shapeId="0" xr:uid="{00000000-0006-0000-0000-000027000000}">
      <text>
        <r>
          <rPr>
            <sz val="10"/>
            <color rgb="FF000000"/>
            <rFont val="Arial"/>
            <family val="2"/>
            <scheme val="minor"/>
          </rPr>
          <t>======
ID#AAABFbFzZGM
tc={3D589648-6299-4E45-866A-B27AC78B81C3}    (2024-02-02 09:42:39)
[Threaded comment]
Your version of Excel allows you to read this threaded comment; however, any edits to it will get removed if the file is opened in a newer version of Excel. Learn more: https://go.microsoft.com/fwlink/?linkid=870924
Comment:
    focus is on verification; not on the design of PLs</t>
        </r>
      </text>
    </comment>
    <comment ref="P88" authorId="0" shapeId="0" xr:uid="{00000000-0006-0000-0000-00000C000000}">
      <text>
        <r>
          <rPr>
            <sz val="10"/>
            <color rgb="FF000000"/>
            <rFont val="Arial"/>
            <family val="2"/>
            <scheme val="minor"/>
          </rPr>
          <t>======
ID#AAABFbFzZIU
tc={03F61519-F1B5-45F4-8B10-27E5DAA05DE2}    (2024-02-02 09:42:39)
[Threaded comment]
Your version of Excel allows you to read this threaded comment; however, any edits to it will get removed if the file is opened in a newer version of Excel. Learn more: https://go.microsoft.com/fwlink/?linkid=870924
Comment:
    yes: interestingly this is about Green SE and not about traditional economics</t>
        </r>
      </text>
    </comment>
    <comment ref="O89" authorId="0" shapeId="0" xr:uid="{00000000-0006-0000-0000-00004B000000}">
      <text>
        <r>
          <rPr>
            <sz val="10"/>
            <color rgb="FF000000"/>
            <rFont val="Arial"/>
            <family val="2"/>
            <scheme val="minor"/>
          </rPr>
          <t>======
ID#AAABFbFzZDQ
tc={9838957A-B201-46D8-98A4-641A35CEEB03}    (2024-02-02 09:42:38)
[Threaded comment]
Your version of Excel allows you to read this threaded comment; however, any edits to it will get removed if the file is opened in a newer version of Excel. Learn more: https://go.microsoft.com/fwlink/?linkid=870924
Comment:
    adversarial attacks</t>
        </r>
      </text>
    </comment>
    <comment ref="Q91" authorId="0" shapeId="0" xr:uid="{00000000-0006-0000-0000-00000E000000}">
      <text>
        <r>
          <rPr>
            <sz val="10"/>
            <color rgb="FF000000"/>
            <rFont val="Arial"/>
            <family val="2"/>
            <scheme val="minor"/>
          </rPr>
          <t>======
ID#AAABFbFzZIM
tc={ACB46120-CD9C-49D9-B2E0-FD8CA8A7873E}    (2024-02-02 09:42:39)
[Threaded comment]
Your version of Excel allows you to read this threaded comment; however, any edits to it will get removed if the file is opened in a newer version of Excel. Learn more: https://go.microsoft.com/fwlink/?linkid=870924
Comment:
    interactive theorem proving</t>
        </r>
      </text>
    </comment>
    <comment ref="K95" authorId="0" shapeId="0" xr:uid="{00000000-0006-0000-0000-00003A000000}">
      <text>
        <r>
          <rPr>
            <sz val="10"/>
            <color rgb="FF000000"/>
            <rFont val="Arial"/>
            <family val="2"/>
            <scheme val="minor"/>
          </rPr>
          <t>======
ID#AAABFbFzZEo
tc={C67F131D-3BAE-6745-99C5-FBB10BA57D19}    (2024-02-02 09:42:39)
[Threaded comment]
Your version of Excel allows you to read this threaded comment; however, any edits to it will get removed if the file is opened in a newer version of Excel. Learn more: https://go.microsoft.com/fwlink/?linkid=870924
Comment:
    Removed by Roberto</t>
        </r>
      </text>
    </comment>
    <comment ref="I96" authorId="0" shapeId="0" xr:uid="{00000000-0006-0000-0000-000064000000}">
      <text>
        <r>
          <rPr>
            <sz val="10"/>
            <color rgb="FF000000"/>
            <rFont val="Arial"/>
            <family val="2"/>
            <scheme val="minor"/>
          </rPr>
          <t>======
ID#AAABFbFzZBY
tc={CF7D5309-CC27-3842-A573-55B4173C1819}    (2024-02-02 09:42:38)
[Threaded comment]
Your version of Excel allows you to read this threaded comment; however, any edits to it will get removed if the file is opened in a newer version of Excel. Learn more: https://go.microsoft.com/fwlink/?linkid=870924
Comment:
    Added by Roberto</t>
        </r>
      </text>
    </comment>
    <comment ref="G104" authorId="0" shapeId="0" xr:uid="{00000000-0006-0000-0000-000053000000}">
      <text>
        <r>
          <rPr>
            <sz val="10"/>
            <color rgb="FF000000"/>
            <rFont val="Arial"/>
            <family val="2"/>
            <scheme val="minor"/>
          </rPr>
          <t>======
ID#AAABFbFzZCk
tc={F27CD153-9124-4D06-BFD4-F72BB2EB8BC7}    (2024-02-02 09:42:38)
[Threaded comment]
Your version of Excel allows you to read this threaded comment; however, any edits to it will get removed if the file is opened in a newer version of Excel. Learn more: https://go.microsoft.com/fwlink/?linkid=870924
Comment:
    implied by programming cluster</t>
        </r>
      </text>
    </comment>
    <comment ref="Q105" authorId="0" shapeId="0" xr:uid="{00000000-0006-0000-0000-00005C000000}">
      <text>
        <r>
          <rPr>
            <sz val="10"/>
            <color rgb="FF000000"/>
            <rFont val="Arial"/>
            <family val="2"/>
            <scheme val="minor"/>
          </rPr>
          <t>======
ID#AAABFbFzZB4
tc={CF5BDC22-C970-4010-AC26-C69885B2A81A}    (2024-02-02 09:42:38)
[Threaded comment]
Your version of Excel allows you to read this threaded comment; however, any edits to it will get removed if the file is opened in a newer version of Excel. Learn more: https://go.microsoft.com/fwlink/?linkid=870924
Comment:
    emphasis is on testing. Probably not</t>
        </r>
      </text>
    </comment>
    <comment ref="I107" authorId="0" shapeId="0" xr:uid="{00000000-0006-0000-0000-000016000000}">
      <text>
        <r>
          <rPr>
            <sz val="10"/>
            <color rgb="FF000000"/>
            <rFont val="Arial"/>
            <family val="2"/>
            <scheme val="minor"/>
          </rPr>
          <t>======
ID#AAABFbFzZHg
tc={5328B948-C1CA-2944-882C-BED43D62E5F3}    (2024-02-02 09:42:39)
[Threaded comment]
Your version of Excel allows you to read this threaded comment; however, any edits to it will get removed if the file is opened in a newer version of Excel. Learn more: https://go.microsoft.com/fwlink/?linkid=870924
Comment:
    Added by Roberto</t>
        </r>
      </text>
    </comment>
    <comment ref="I108" authorId="0" shapeId="0" xr:uid="{00000000-0006-0000-0000-000076000000}">
      <text>
        <r>
          <rPr>
            <sz val="10"/>
            <color rgb="FF000000"/>
            <rFont val="Arial"/>
            <family val="2"/>
            <scheme val="minor"/>
          </rPr>
          <t>======
ID#AAABFbFzZAQ
tc={21FC00C9-1861-A043-B187-84E70438E036}    (2024-02-02 09:42:38)
[Threaded comment]
Your version of Excel allows you to read this threaded comment; however, any edits to it will get removed if the file is opened in a newer version of Excel. Learn more: https://go.microsoft.com/fwlink/?linkid=870924
Comment:
    Added by Roberto</t>
        </r>
      </text>
    </comment>
    <comment ref="E111" authorId="0" shapeId="0" xr:uid="{00000000-0006-0000-0000-00001F000000}">
      <text>
        <r>
          <rPr>
            <sz val="10"/>
            <color rgb="FF000000"/>
            <rFont val="Arial"/>
            <family val="2"/>
            <scheme val="minor"/>
          </rPr>
          <t>======
ID#AAABFbFzZGw
tc={52FB6E8E-E103-AE4E-9AA5-A51E4CA8808A}    (2024-02-02 09:42:39)
[Threaded comment]
Your version of Excel allows you to read this threaded comment; however, any edits to it will get removed if the file is opened in a newer version of Excel. Learn more: https://go.microsoft.com/fwlink/?linkid=870924
Comment:
    Added</t>
        </r>
      </text>
    </comment>
    <comment ref="O112" authorId="0" shapeId="0" xr:uid="{00000000-0006-0000-0000-000013000000}">
      <text>
        <r>
          <rPr>
            <sz val="10"/>
            <color rgb="FF000000"/>
            <rFont val="Arial"/>
            <family val="2"/>
            <scheme val="minor"/>
          </rPr>
          <t>======
ID#AAABFbFzZH0
tc={52018A4E-4CF4-294E-A4DD-13D23241287D}    (2024-02-02 09:42:39)
[Threaded comment]
Your version of Excel allows you to read this threaded comment; however, any edits to it will get removed if the file is opened in a newer version of Excel. Learn more: https://go.microsoft.com/fwlink/?linkid=870924
Comment:
    It is about crypto, not SW sec.</t>
        </r>
      </text>
    </comment>
    <comment ref="D114" authorId="0" shapeId="0" xr:uid="{00000000-0006-0000-0000-000080000000}">
      <text>
        <r>
          <rPr>
            <sz val="10"/>
            <color rgb="FF000000"/>
            <rFont val="Arial"/>
            <family val="2"/>
            <scheme val="minor"/>
          </rPr>
          <t>======
ID#AAABFbFzY_g
tc={09F827F4-A367-DE41-BD96-A8F266A9AADD}    (2024-02-02 09:42:38)
[Threaded comment]
Your version of Excel allows you to read this threaded comment; however, any edits to it will get removed if the file is opened in a newer version of Excel. Learn more: https://go.microsoft.com/fwlink/?linkid=870924
Comment:
    Only doing elicitation interviews</t>
        </r>
      </text>
    </comment>
    <comment ref="H114" authorId="0" shapeId="0" xr:uid="{00000000-0006-0000-0000-000046000000}">
      <text>
        <r>
          <rPr>
            <sz val="10"/>
            <color rgb="FF000000"/>
            <rFont val="Arial"/>
            <family val="2"/>
            <scheme val="minor"/>
          </rPr>
          <t>======
ID#AAABFbFzZDw
tc={9967D0E7-61D3-4376-ACB3-B88DF38880B6}    (2024-02-02 09:42:38)
[Threaded comment]
Your version of Excel allows you to read this threaded comment; however, any edits to it will get removed if the file is opened in a newer version of Excel. Learn more: https://go.microsoft.com/fwlink/?linkid=870924
Comment:
    test plans, system testing, couple of relatively simple testing techniques</t>
        </r>
      </text>
    </comment>
    <comment ref="O114" authorId="0" shapeId="0" xr:uid="{00000000-0006-0000-0000-00007B000000}">
      <text>
        <r>
          <rPr>
            <sz val="10"/>
            <color rgb="FF000000"/>
            <rFont val="Arial"/>
            <family val="2"/>
            <scheme val="minor"/>
          </rPr>
          <t>======
ID#AAABFbFzY_4
tc={A21E5C6A-662B-814A-99E6-03774FE12CDA}    (2024-02-02 09:42:38)
[Threaded comment]
Your version of Excel allows you to read this threaded comment; however, any edits to it will get removed if the file is opened in a newer version of Excel. Learn more: https://go.microsoft.com/fwlink/?linkid=870924
Comment:
    Too minor</t>
        </r>
      </text>
    </comment>
    <comment ref="O115" authorId="0" shapeId="0" xr:uid="{00000000-0006-0000-0000-000034000000}">
      <text>
        <r>
          <rPr>
            <sz val="10"/>
            <color rgb="FF000000"/>
            <rFont val="Arial"/>
            <family val="2"/>
            <scheme val="minor"/>
          </rPr>
          <t>======
ID#AAABFbFzZFI
tc={9B084AD5-40E9-CC49-B437-768ECD544406}    (2024-02-02 09:42:39)
[Threaded comment]
Your version of Excel allows you to read this threaded comment; however, any edits to it will get removed if the file is opened in a newer version of Excel. Learn more: https://go.microsoft.com/fwlink/?linkid=870924
Comment:
    Marginal</t>
        </r>
      </text>
    </comment>
    <comment ref="G127" authorId="0" shapeId="0" xr:uid="{00000000-0006-0000-0000-000062000000}">
      <text>
        <r>
          <rPr>
            <sz val="10"/>
            <color rgb="FF000000"/>
            <rFont val="Arial"/>
            <family val="2"/>
            <scheme val="minor"/>
          </rPr>
          <t>======
ID#AAABFbFzZBg
tc={52786A36-89A5-9E43-B922-AE3D3FD2D5B1}    (2024-02-02 09:42:38)
[Threaded comment]
Your version of Excel allows you to read this threaded comment; however, any edits to it will get removed if the file is opened in a newer version of Excel. Learn more: https://go.microsoft.com/fwlink/?linkid=870924
Comment:
    No C&amp;P specifically</t>
        </r>
      </text>
    </comment>
    <comment ref="Q127" authorId="0" shapeId="0" xr:uid="{00000000-0006-0000-0000-00002B000000}">
      <text>
        <r>
          <rPr>
            <sz val="10"/>
            <color rgb="FF000000"/>
            <rFont val="Arial"/>
            <family val="2"/>
            <scheme val="minor"/>
          </rPr>
          <t>======
ID#AAABFbFzZF4
tc={804295E3-EA06-45C5-8C86-695638F5DB09}    (2024-02-02 09:42:39)
[Threaded comment]
Your version of Excel allows you to read this threaded comment; however, any edits to it will get removed if the file is opened in a newer version of Excel. Learn more: https://go.microsoft.com/fwlink/?linkid=870924
Comment:
    "verification of software changes" is a minor part only</t>
        </r>
      </text>
    </comment>
    <comment ref="R127" authorId="0" shapeId="0" xr:uid="{00000000-0006-0000-0000-00000D000000}">
      <text>
        <r>
          <rPr>
            <sz val="10"/>
            <color rgb="FF000000"/>
            <rFont val="Arial"/>
            <family val="2"/>
            <scheme val="minor"/>
          </rPr>
          <t>======
ID#AAABFbFzZIQ
tc={C096C04F-E88D-42D7-8C75-74E32FFE6CC4}    (2024-02-02 09:42:39)
[Threaded comment]
Your version of Excel allows you to read this threaded comment; however, any edits to it will get removed if the file is opened in a newer version of Excel. Learn more: https://go.microsoft.com/fwlink/?linkid=870924
Comment:
    no, also see SQM at OU</t>
        </r>
      </text>
    </comment>
    <comment ref="P128" authorId="0" shapeId="0" xr:uid="{00000000-0006-0000-0000-00005D000000}">
      <text>
        <r>
          <rPr>
            <sz val="10"/>
            <color rgb="FF000000"/>
            <rFont val="Arial"/>
            <family val="2"/>
            <scheme val="minor"/>
          </rPr>
          <t>======
ID#AAABFbFzZB0
tc={F4B8691B-039D-4804-994B-383E25F4149B}    (2024-02-02 09:42:38)
[Threaded comment]
Your version of Excel allows you to read this threaded comment; however, any edits to it will get removed if the file is opened in a newer version of Excel. Learn more: https://go.microsoft.com/fwlink/?linkid=870924
Comment:
    cost and effort estimation</t>
        </r>
      </text>
    </comment>
    <comment ref="Q130" authorId="0" shapeId="0" xr:uid="{00000000-0006-0000-0000-00006A000000}">
      <text>
        <r>
          <rPr>
            <sz val="10"/>
            <color rgb="FF000000"/>
            <rFont val="Arial"/>
            <family val="2"/>
            <scheme val="minor"/>
          </rPr>
          <t>======
ID#AAABFbFzZBA
tc={FDBB809E-D8F3-4849-AC10-54584DE59E70}    (2024-02-02 09:42:38)
[Threaded comment]
Your version of Excel allows you to read this threaded comment; however, any edits to it will get removed if the file is opened in a newer version of Excel. Learn more: https://go.microsoft.com/fwlink/?linkid=870924
Comment:
    focus is on testing, not verification. Description mentions formal reasoning, but this seems to be a minor part =&gt; do NOT include</t>
        </r>
      </text>
    </comment>
    <comment ref="H131" authorId="0" shapeId="0" xr:uid="{00000000-0006-0000-0000-000044000000}">
      <text>
        <r>
          <rPr>
            <sz val="10"/>
            <color rgb="FF000000"/>
            <rFont val="Arial"/>
            <family val="2"/>
            <scheme val="minor"/>
          </rPr>
          <t>======
ID#AAABFbFzZD8
tc={6F684197-27B6-42AE-8B25-8B54652C2B2B}    (2024-02-02 09:42:38)
[Threaded comment]
Your version of Excel allows you to read this threaded comment; however, any edits to it will get removed if the file is opened in a newer version of Excel. Learn more: https://go.microsoft.com/fwlink/?linkid=870924
Comment:
    course description does not mention testing =&gt; should be out</t>
        </r>
      </text>
    </comment>
    <comment ref="E143" authorId="0" shapeId="0" xr:uid="{00000000-0006-0000-0000-000026000000}">
      <text>
        <r>
          <rPr>
            <sz val="10"/>
            <color rgb="FF000000"/>
            <rFont val="Arial"/>
            <family val="2"/>
            <scheme val="minor"/>
          </rPr>
          <t>======
ID#AAABFbFzZGQ
tc={949B73DE-9C13-C848-950A-A26DC5C0487B}    (2024-02-02 09:42:39)
[Threaded comment]
Your version of Excel allows you to read this threaded comment; however, any edits to it will get removed if the file is opened in a newer version of Excel. Learn more: https://go.microsoft.com/fwlink/?linkid=870924
Comment:
    Product architecture</t>
        </r>
      </text>
    </comment>
    <comment ref="Q148" authorId="0" shapeId="0" xr:uid="{00000000-0006-0000-0000-000010000000}">
      <text>
        <r>
          <rPr>
            <sz val="10"/>
            <color rgb="FF000000"/>
            <rFont val="Arial"/>
            <family val="2"/>
            <scheme val="minor"/>
          </rPr>
          <t>======
ID#AAABFbFzZIA
tc={3E8FB7F8-DA1F-45A6-BD40-4E4A65A4CF08}    (2024-02-02 09:42:39)
[Threaded comment]
Your version of Excel allows you to read this threaded comment; however, any edits to it will get removed if the file is opened in a newer version of Excel. Learn more: https://go.microsoft.com/fwlink/?linkid=870924
Comment:
    no; description of 2022 does not mention Coq or Agda (in 2021 it did mention those languages)</t>
        </r>
      </text>
    </comment>
    <comment ref="R148" authorId="0" shapeId="0" xr:uid="{00000000-0006-0000-0000-00007F000000}">
      <text>
        <r>
          <rPr>
            <sz val="10"/>
            <color rgb="FF000000"/>
            <rFont val="Arial"/>
            <family val="2"/>
            <scheme val="minor"/>
          </rPr>
          <t>======
ID#AAABFbFzY_k
tc={E4278811-CBD2-4FB9-A941-AD04F778BC5D}    (2024-02-02 09:42:38)
[Threaded comment]
Your version of Excel allows you to read this threaded comment; however, any edits to it will get removed if the file is opened in a newer version of Excel. Learn more: https://go.microsoft.com/fwlink/?linkid=870924
Comment:
    short course description: advanced fp course, see also UvA</t>
        </r>
      </text>
    </comment>
    <comment ref="O150" authorId="0" shapeId="0" xr:uid="{00000000-0006-0000-0000-000004000000}">
      <text>
        <r>
          <rPr>
            <sz val="10"/>
            <color rgb="FF000000"/>
            <rFont val="Arial"/>
            <family val="2"/>
            <scheme val="minor"/>
          </rPr>
          <t>======
ID#AAABFbFzZI0
tc={81BC8C5B-8896-F744-878D-CB4369BF4498}    (2024-02-02 09:42:39)
[Threaded comment]
Your version of Excel allows you to read this threaded comment; however, any edits to it will get removed if the file is opened in a newer version of Excel. Learn more: https://go.microsoft.com/fwlink/?linkid=870924
Comment:
    This course has become security intensive thanks to the teacher/lecturer</t>
        </r>
      </text>
    </comment>
    <comment ref="P159" authorId="0" shapeId="0" xr:uid="{00000000-0006-0000-0000-000032000000}">
      <text>
        <r>
          <rPr>
            <sz val="10"/>
            <color rgb="FF000000"/>
            <rFont val="Arial"/>
            <family val="2"/>
            <scheme val="minor"/>
          </rPr>
          <t>======
ID#AAABFbFzZFU
tc={A995DFA2-9AC3-430D-BBB3-ACF31F087A70}    (2024-02-02 09:42:39)
[Threaded comment]
Your version of Excel allows you to read this threaded comment; however, any edits to it will get removed if the file is opened in a newer version of Excel. Learn more: https://go.microsoft.com/fwlink/?linkid=870924
Comment:
    part of BSc Business Analytics.</t>
        </r>
      </text>
    </comment>
    <comment ref="E160" authorId="0" shapeId="0" xr:uid="{00000000-0006-0000-0000-000020000000}">
      <text>
        <r>
          <rPr>
            <sz val="10"/>
            <color rgb="FF000000"/>
            <rFont val="Arial"/>
            <family val="2"/>
            <scheme val="minor"/>
          </rPr>
          <t>======
ID#AAABFbFzZGs
tc={81457B27-E3B3-7846-BB38-038DFAEA7745}    (2024-02-02 09:42:39)
[Threaded comment]
Your version of Excel allows you to read this threaded comment; however, any edits to it will get removed if the file is opened in a newer version of Excel. Learn more: https://go.microsoft.com/fwlink/?linkid=870924
Comment:
    Computer architecture only</t>
        </r>
      </text>
    </comment>
    <comment ref="K160" authorId="0" shapeId="0" xr:uid="{00000000-0006-0000-0000-00005A000000}">
      <text>
        <r>
          <rPr>
            <sz val="10"/>
            <color rgb="FF000000"/>
            <rFont val="Arial"/>
            <family val="2"/>
            <scheme val="minor"/>
          </rPr>
          <t>======
ID#AAABFbFzZCE
tc={437E0D1C-0034-C247-8552-793AB711C8E6}    (2024-02-02 09:42:38)
[Threaded comment]
Your version of Excel allows you to read this threaded comment; however, any edits to it will get removed if the file is opened in a newer version of Excel. Learn more: https://go.microsoft.com/fwlink/?linkid=870924
Comment:
    Removed by Roberto</t>
        </r>
      </text>
    </comment>
    <comment ref="F161" authorId="0" shapeId="0" xr:uid="{00000000-0006-0000-0000-000025000000}">
      <text>
        <r>
          <rPr>
            <sz val="10"/>
            <color rgb="FF000000"/>
            <rFont val="Arial"/>
            <family val="2"/>
            <scheme val="minor"/>
          </rPr>
          <t>======
ID#AAABFbFzZGU
tc={D22BF320-BCC4-A842-8C63-BED00741A6BB}    (2024-02-02 09:42:39)
[Threaded comment]
Your version of Excel allows you to read this threaded comment; however, any edits to it will get removed if the file is opened in a newer version of Excel. Learn more: https://go.microsoft.com/fwlink/?linkid=870924
Comment:
    It talks of “design principles” in a general sense, I’d not consider as software design.</t>
        </r>
      </text>
    </comment>
    <comment ref="H161" authorId="0" shapeId="0" xr:uid="{00000000-0006-0000-0000-000069000000}">
      <text>
        <r>
          <rPr>
            <sz val="10"/>
            <color rgb="FF000000"/>
            <rFont val="Arial"/>
            <family val="2"/>
            <scheme val="minor"/>
          </rPr>
          <t>======
ID#AAABFbFzZBE
tc={A96C10D2-90DC-4A6C-9139-6D8CDAEF7835}    (2024-02-02 09:42:38)
[Threaded comment]
Your version of Excel allows you to read this threaded comment; however, any edits to it will get removed if the file is opened in a newer version of Excel. Learn more: https://go.microsoft.com/fwlink/?linkid=870924
Comment:
    "testen van code" probably restricted to unit testing only</t>
        </r>
      </text>
    </comment>
    <comment ref="F162" authorId="0" shapeId="0" xr:uid="{00000000-0006-0000-0000-000082000000}">
      <text>
        <r>
          <rPr>
            <sz val="10"/>
            <color rgb="FF000000"/>
            <rFont val="Arial"/>
            <family val="2"/>
            <scheme val="minor"/>
          </rPr>
          <t>======
ID#AAABFbFzY_U
tc={2E485970-649B-FB41-AC0E-367BB147FE2E}    (2024-02-02 09:42:38)
[Threaded comment]
Your version of Excel allows you to read this threaded comment; however, any edits to it will get removed if the file is opened in a newer version of Excel. Learn more: https://go.microsoft.com/fwlink/?linkid=870924
Comment:
    “Design principles”</t>
        </r>
      </text>
    </comment>
    <comment ref="R164" authorId="0" shapeId="0" xr:uid="{00000000-0006-0000-0000-00001D000000}">
      <text>
        <r>
          <rPr>
            <sz val="10"/>
            <color rgb="FF000000"/>
            <rFont val="Arial"/>
            <family val="2"/>
            <scheme val="minor"/>
          </rPr>
          <t>======
ID#AAABFbFzZG8
tc={CF8FC25D-D40E-1C4F-BDDD-926BFFA7858C}    (2024-02-02 09:42:39)
[Threaded comment]
Your version of Excel allows you to read this threaded comment; however, any edits to it will get removed if the file is opened in a newer version of Excel. Learn more: https://go.microsoft.com/fwlink/?linkid=870924
Comment:
    Removed by FD
Reply:
    Reconsider (was originally ticked). Compares concepts of programming languages</t>
        </r>
      </text>
    </comment>
    <comment ref="F168" authorId="0" shapeId="0" xr:uid="{00000000-0006-0000-0000-00005B000000}">
      <text>
        <r>
          <rPr>
            <sz val="10"/>
            <color rgb="FF000000"/>
            <rFont val="Arial"/>
            <family val="2"/>
            <scheme val="minor"/>
          </rPr>
          <t>======
ID#AAABFbFzZB8
tc={FF9E661F-D15E-2541-B68C-1EA9838A7F9B}    (2024-02-02 09:42:38)
[Threaded comment]
Your version of Excel allows you to read this threaded comment; however, any edits to it will get removed if the file is opened in a newer version of Excel. Learn more: https://go.microsoft.com/fwlink/?linkid=870924
Comment:
    No real design</t>
        </r>
      </text>
    </comment>
    <comment ref="F174" authorId="0" shapeId="0" xr:uid="{00000000-0006-0000-0000-000052000000}">
      <text>
        <r>
          <rPr>
            <sz val="10"/>
            <color rgb="FF000000"/>
            <rFont val="Arial"/>
            <family val="2"/>
            <scheme val="minor"/>
          </rPr>
          <t>======
ID#AAABFbFzZCo
tc={21E6971F-CB58-8440-B40E-10CA8CC0CDFE}    (2024-02-02 09:42:38)
[Threaded comment]
Your version of Excel allows you to read this threaded comment; however, any edits to it will get removed if the file is opened in a newer version of Excel. Learn more: https://go.microsoft.com/fwlink/?linkid=870924
Comment:
    Not sufficient focus on SW design, this is good library use with Python</t>
        </r>
      </text>
    </comment>
    <comment ref="Q176" authorId="0" shapeId="0" xr:uid="{00000000-0006-0000-0000-000057000000}">
      <text>
        <r>
          <rPr>
            <sz val="10"/>
            <color rgb="FF000000"/>
            <rFont val="Arial"/>
            <family val="2"/>
            <scheme val="minor"/>
          </rPr>
          <t>======
ID#AAABFbFzZCQ
tc={A46CFA8A-6835-8E4E-8B58-ACFEB357D2D7}    (2024-02-02 09:42:38)
[Threaded comment]
Your version of Excel allows you to read this threaded comment; however, any edits to it will get removed if the file is opened in a newer version of Excel. Learn more: https://go.microsoft.com/fwlink/?linkid=870924
Comment:
    I am doubtful
Reply:
    should be out</t>
        </r>
      </text>
    </comment>
    <comment ref="R176" authorId="0" shapeId="0" xr:uid="{00000000-0006-0000-0000-000056000000}">
      <text>
        <r>
          <rPr>
            <sz val="10"/>
            <color rgb="FF000000"/>
            <rFont val="Arial"/>
            <family val="2"/>
            <scheme val="minor"/>
          </rPr>
          <t>======
ID#AAABFbFzZCU
tc={A4D9B43C-00DC-42D7-88DE-2AF5AED51448}    (2024-02-02 09:42:38)
[Threaded comment]
Your version of Excel allows you to read this threaded comment; however, any edits to it will get removed if the file is opened in a newer version of Excel. Learn more: https://go.microsoft.com/fwlink/?linkid=870924
Comment:
    Advanced FP course. Comparison imperative languages</t>
        </r>
      </text>
    </comment>
    <comment ref="F177" authorId="0" shapeId="0" xr:uid="{00000000-0006-0000-0000-00004E000000}">
      <text>
        <r>
          <rPr>
            <sz val="10"/>
            <color rgb="FF000000"/>
            <rFont val="Arial"/>
            <family val="2"/>
            <scheme val="minor"/>
          </rPr>
          <t>======
ID#AAABFbFzZDA
tc={724FB51A-12A5-9146-8B27-321D0BA62A2E}    (2024-02-02 09:42:38)
[Threaded comment]
Your version of Excel allows you to read this threaded comment; however, any edits to it will get removed if the file is opened in a newer version of Excel. Learn more: https://go.microsoft.com/fwlink/?linkid=870924
Comment:
    Hardware design</t>
        </r>
      </text>
    </comment>
    <comment ref="F179" authorId="0" shapeId="0" xr:uid="{00000000-0006-0000-0000-000047000000}">
      <text>
        <r>
          <rPr>
            <sz val="10"/>
            <color rgb="FF000000"/>
            <rFont val="Arial"/>
            <family val="2"/>
            <scheme val="minor"/>
          </rPr>
          <t>======
ID#AAABFbFzZDo
tc={5C0D78A1-ABED-4946-BD50-CCE8B5F53CC4}    (2024-02-02 09:42:38)
[Threaded comment]
Your version of Excel allows you to read this threaded comment; however, any edits to it will get removed if the file is opened in a newer version of Excel. Learn more: https://go.microsoft.com/fwlink/?linkid=870924
Comment:
    Another course where one could maybe argue that some design is done, but it is actually verification</t>
        </r>
      </text>
    </comment>
    <comment ref="H179" authorId="0" shapeId="0" xr:uid="{00000000-0006-0000-0000-000001000000}">
      <text>
        <r>
          <rPr>
            <sz val="10"/>
            <color rgb="FF000000"/>
            <rFont val="Arial"/>
            <family val="2"/>
            <scheme val="minor"/>
          </rPr>
          <t>======
ID#AAABFbFzZJE
tc={BCC377E7-8107-4187-910E-B62D67E294B2}    (2024-02-02 09:42:39)
[Threaded comment]
Your version of Excel allows you to read this threaded comment; however, any edits to it will get removed if the file is opened in a newer version of Excel. Learn more: https://go.microsoft.com/fwlink/?linkid=870924
Comment:
    property-based testing (is a very specific technique in functional programming language)</t>
        </r>
      </text>
    </comment>
    <comment ref="Q179" authorId="0" shapeId="0" xr:uid="{00000000-0006-0000-0000-000065000000}">
      <text>
        <r>
          <rPr>
            <sz val="10"/>
            <color rgb="FF000000"/>
            <rFont val="Arial"/>
            <family val="2"/>
            <scheme val="minor"/>
          </rPr>
          <t>======
ID#AAABFbFzZBU
tc={93751F98-6CC1-4A22-9440-9E6D4226AA9F}    (2024-02-02 09:42:38)
[Threaded comment]
Your version of Excel allows you to read this threaded comment; however, any edits to it will get removed if the file is opened in a newer version of Excel. Learn more: https://go.microsoft.com/fwlink/?linkid=870924
Comment:
    probably yes: description mentions that Haskell is used as a tool for model checking</t>
        </r>
      </text>
    </comment>
    <comment ref="Q180" authorId="0" shapeId="0" xr:uid="{00000000-0006-0000-0000-00006D000000}">
      <text>
        <r>
          <rPr>
            <sz val="10"/>
            <color rgb="FF000000"/>
            <rFont val="Arial"/>
            <family val="2"/>
            <scheme val="minor"/>
          </rPr>
          <t>======
ID#AAABFbFzZA0
tc={92FCFC92-B680-4C91-BE37-25ADF1078CE4}    (2024-02-02 09:42:38)
[Threaded comment]
Your version of Excel allows you to read this threaded comment; however, any edits to it will get removed if the file is opened in a newer version of Excel. Learn more: https://go.microsoft.com/fwlink/?linkid=870924
Comment:
    only marginally about verification</t>
        </r>
      </text>
    </comment>
    <comment ref="N181" authorId="0" shapeId="0" xr:uid="{00000000-0006-0000-0000-000067000000}">
      <text>
        <r>
          <rPr>
            <sz val="10"/>
            <color rgb="FF000000"/>
            <rFont val="Arial"/>
            <family val="2"/>
            <scheme val="minor"/>
          </rPr>
          <t>======
ID#AAABFbFzZBM
tc={7EE7CD6B-7DCF-8248-855B-A24C1E0FF1B3}    (2024-02-02 09:42:38)
[Threaded comment]
Your version of Excel allows you to read this threaded comment; however, any edits to it will get removed if the file is opened in a newer version of Excel. Learn more: https://go.microsoft.com/fwlink/?linkid=870924
Comment:
    Added based on description (modeling techniques)</t>
        </r>
      </text>
    </comment>
    <comment ref="E183" authorId="0" shapeId="0" xr:uid="{00000000-0006-0000-0000-000075000000}">
      <text>
        <r>
          <rPr>
            <sz val="10"/>
            <color rgb="FF000000"/>
            <rFont val="Arial"/>
            <family val="2"/>
            <scheme val="minor"/>
          </rPr>
          <t>======
ID#AAABFbFzZAU
tc={2733D670-7321-354D-B41B-1FBB70CA8D3D}    (2024-02-02 09:42:38)
[Threaded comment]
Your version of Excel allows you to read this threaded comment; however, any edits to it will get removed if the file is opened in a newer version of Excel. Learn more: https://go.microsoft.com/fwlink/?linkid=870924
Comment:
    Removed: didn’t seem right</t>
        </r>
      </text>
    </comment>
    <comment ref="I183" authorId="0" shapeId="0" xr:uid="{00000000-0006-0000-0000-00007E000000}">
      <text>
        <r>
          <rPr>
            <sz val="10"/>
            <color rgb="FF000000"/>
            <rFont val="Arial"/>
            <family val="2"/>
            <scheme val="minor"/>
          </rPr>
          <t>======
ID#AAABFbFzY_o
tc={B7E17A23-81F1-0B45-9E3B-673F7CBFD52B}    (2024-02-02 09:42:38)
[Threaded comment]
Your version of Excel allows you to read this threaded comment; however, any edits to it will get removed if the file is opened in a newer version of Excel. Learn more: https://go.microsoft.com/fwlink/?linkid=870924
Comment:
    Added by Roberto</t>
        </r>
      </text>
    </comment>
    <comment ref="J183" authorId="0" shapeId="0" xr:uid="{00000000-0006-0000-0000-000024000000}">
      <text>
        <r>
          <rPr>
            <sz val="10"/>
            <color rgb="FF000000"/>
            <rFont val="Arial"/>
            <family val="2"/>
            <scheme val="minor"/>
          </rPr>
          <t>======
ID#AAABFbFzZGc
tc={CB590847-1E9F-B24E-8D1B-3BE031D54638}    (2024-02-02 09:42:39)
[Threaded comment]
Your version of Excel allows you to read this threaded comment; however, any edits to it will get removed if the file is opened in a newer version of Excel. Learn more: https://go.microsoft.com/fwlink/?linkid=870924
Comment:
    Added by Roberto</t>
        </r>
      </text>
    </comment>
    <comment ref="L183" authorId="0" shapeId="0" xr:uid="{00000000-0006-0000-0000-00001E000000}">
      <text>
        <r>
          <rPr>
            <sz val="10"/>
            <color rgb="FF000000"/>
            <rFont val="Arial"/>
            <family val="2"/>
            <scheme val="minor"/>
          </rPr>
          <t>======
ID#AAABFbFzZG0
tc={32EA8F4F-D093-0241-8BBC-B7D7EA4E303B}    (2024-02-02 09:42:39)
[Threaded comment]
Your version of Excel allows you to read this threaded comment; however, any edits to it will get removed if the file is opened in a newer version of Excel. Learn more: https://go.microsoft.com/fwlink/?linkid=870924
Comment:
    Added by FD to replace prof. Practice, based on wording</t>
        </r>
      </text>
    </comment>
    <comment ref="H184" authorId="0" shapeId="0" xr:uid="{00000000-0006-0000-0000-000033000000}">
      <text>
        <r>
          <rPr>
            <sz val="10"/>
            <color rgb="FF000000"/>
            <rFont val="Arial"/>
            <family val="2"/>
            <scheme val="minor"/>
          </rPr>
          <t>======
ID#AAABFbFzZFM
tc={22DC5801-4AFF-49AE-A214-62896A384263}    (2024-02-02 09:42:39)
[Threaded comment]
Your version of Excel allows you to read this threaded comment; however, any edits to it will get removed if the file is opened in a newer version of Excel. Learn more: https://go.microsoft.com/fwlink/?linkid=870924
Comment:
    yes, even though the description mainly mentions property-based testing</t>
        </r>
      </text>
    </comment>
    <comment ref="K187" authorId="0" shapeId="0" xr:uid="{00000000-0006-0000-0000-000060000000}">
      <text>
        <r>
          <rPr>
            <sz val="10"/>
            <color rgb="FF000000"/>
            <rFont val="Arial"/>
            <family val="2"/>
            <scheme val="minor"/>
          </rPr>
          <t>======
ID#AAABFbFzZBo
tc={25FB51D5-B0E9-7142-A4F5-BF3E8457658B}    (2024-02-02 09:42:38)
[Threaded comment]
Your version of Excel allows you to read this threaded comment; however, any edits to it will get removed if the file is opened in a newer version of Excel. Learn more: https://go.microsoft.com/fwlink/?linkid=870924
Comment:
    Removed by Roberto</t>
        </r>
      </text>
    </comment>
    <comment ref="I189" authorId="0" shapeId="0" xr:uid="{00000000-0006-0000-0000-000058000000}">
      <text>
        <r>
          <rPr>
            <sz val="10"/>
            <color rgb="FF000000"/>
            <rFont val="Arial"/>
            <family val="2"/>
            <scheme val="minor"/>
          </rPr>
          <t>======
ID#AAABFbFzZCM
tc={FA888DC5-AE14-1C46-BFBA-95F76C129932}    (2024-02-02 09:42:38)
[Threaded comment]
Your version of Excel allows you to read this threaded comment; however, any edits to it will get removed if the file is opened in a newer version of Excel. Learn more: https://go.microsoft.com/fwlink/?linkid=870924
Comment:
    Removed by Roberto</t>
        </r>
      </text>
    </comment>
    <comment ref="F190" authorId="0" shapeId="0" xr:uid="{00000000-0006-0000-0000-000040000000}">
      <text>
        <r>
          <rPr>
            <sz val="10"/>
            <color rgb="FF000000"/>
            <rFont val="Arial"/>
            <family val="2"/>
            <scheme val="minor"/>
          </rPr>
          <t>======
ID#AAABFbFzZEM
tc={BC71C38E-C5AB-E546-B86A-DE29B4FF9A18}    (2024-02-02 09:42:39)
[Threaded comment]
Your version of Excel allows you to read this threaded comment; however, any edits to it will get removed if the file is opened in a newer version of Excel. Learn more: https://go.microsoft.com/fwlink/?linkid=870924
Comment:
    Removed by FD</t>
        </r>
      </text>
    </comment>
    <comment ref="K190" authorId="0" shapeId="0" xr:uid="{00000000-0006-0000-0000-000031000000}">
      <text>
        <r>
          <rPr>
            <sz val="10"/>
            <color rgb="FF000000"/>
            <rFont val="Arial"/>
            <family val="2"/>
            <scheme val="minor"/>
          </rPr>
          <t>======
ID#AAABFbFzZFY
tc={26BAE8BE-F988-864A-AB74-434620F4172B}    (2024-02-02 09:42:39)
[Threaded comment]
Your version of Excel allows you to read this threaded comment; however, any edits to it will get removed if the file is opened in a newer version of Excel. Learn more: https://go.microsoft.com/fwlink/?linkid=870924
Comment:
    Removed by Roberto</t>
        </r>
      </text>
    </comment>
    <comment ref="F191" authorId="0" shapeId="0" xr:uid="{00000000-0006-0000-0000-000070000000}">
      <text>
        <r>
          <rPr>
            <sz val="10"/>
            <color rgb="FF000000"/>
            <rFont val="Arial"/>
            <family val="2"/>
            <scheme val="minor"/>
          </rPr>
          <t>======
ID#AAABFbFzZAo
tc={7F1A1879-98E1-924A-A85E-AE24561C9369}    (2024-02-02 09:42:38)
[Threaded comment]
Your version of Excel allows you to read this threaded comment; however, any edits to it will get removed if the file is opened in a newer version of Excel. Learn more: https://go.microsoft.com/fwlink/?linkid=870924
Comment:
    Removed: doesn’t do patterns or the like.</t>
        </r>
      </text>
    </comment>
    <comment ref="R191" authorId="0" shapeId="0" xr:uid="{00000000-0006-0000-0000-000049000000}">
      <text>
        <r>
          <rPr>
            <sz val="10"/>
            <color rgb="FF000000"/>
            <rFont val="Arial"/>
            <family val="2"/>
            <scheme val="minor"/>
          </rPr>
          <t>======
ID#AAABFbFzZDg
tc={1C5B7F61-2D5B-4D46-A81F-554725D76159}    (2024-02-02 09:42:38)
[Threaded comment]
Your version of Excel allows you to read this threaded comment; however, any edits to it will get removed if the file is opened in a newer version of Excel. Learn more: https://go.microsoft.com/fwlink/?linkid=870924
Comment:
    check: it is about programming paradigms and concepts. However, it also targets more basic programming skills
Reply:
    not in learning outcomes</t>
        </r>
      </text>
    </comment>
    <comment ref="H193" authorId="0" shapeId="0" xr:uid="{00000000-0006-0000-0000-000038000000}">
      <text>
        <r>
          <rPr>
            <sz val="10"/>
            <color rgb="FF000000"/>
            <rFont val="Arial"/>
            <family val="2"/>
            <scheme val="minor"/>
          </rPr>
          <t>======
ID#AAABFbFzZEw
tc={6C499E88-6B36-4CEB-B5FE-9F8636245F02}    (2024-02-02 09:42:39)
[Threaded comment]
Your version of Excel allows you to read this threaded comment; however, any edits to it will get removed if the file is opened in a newer version of Excel. Learn more: https://go.microsoft.com/fwlink/?linkid=870924
Comment:
    testing for security only (too narrow) =&gt; remove tick</t>
        </r>
      </text>
    </comment>
    <comment ref="D194" authorId="0" shapeId="0" xr:uid="{00000000-0006-0000-0000-000002000000}">
      <text>
        <r>
          <rPr>
            <sz val="10"/>
            <color rgb="FF000000"/>
            <rFont val="Arial"/>
            <family val="2"/>
            <scheme val="minor"/>
          </rPr>
          <t>======
ID#AAABFbFzZJA
tc={235C3734-9EDD-DA4F-A335-72EEB2985F5E}    (2024-02-02 09:42:39)
[Threaded comment]
Your version of Excel allows you to read this threaded comment; however, any edits to it will get removed if the file is opened in a newer version of Excel. Learn more: https://go.microsoft.com/fwlink/?linkid=870924
Comment:
    Removed</t>
        </r>
      </text>
    </comment>
    <comment ref="G194" authorId="0" shapeId="0" xr:uid="{00000000-0006-0000-0000-000066000000}">
      <text>
        <r>
          <rPr>
            <sz val="10"/>
            <color rgb="FF000000"/>
            <rFont val="Arial"/>
            <family val="2"/>
            <scheme val="minor"/>
          </rPr>
          <t>======
ID#AAABFbFzZBQ
tc={53923D0A-C3CF-9C40-A202-F0BDB47792E3}    (2024-02-02 09:42:38)
[Threaded comment]
Your version of Excel allows you to read this threaded comment; however, any edits to it will get removed if the file is opened in a newer version of Excel. Learn more: https://go.microsoft.com/fwlink/?linkid=870924
Comment:
    Unsure why this was tagged: no construction/programming here</t>
        </r>
      </text>
    </comment>
    <comment ref="H194" authorId="0" shapeId="0" xr:uid="{00000000-0006-0000-0000-000014000000}">
      <text>
        <r>
          <rPr>
            <sz val="10"/>
            <color rgb="FF000000"/>
            <rFont val="Arial"/>
            <family val="2"/>
            <scheme val="minor"/>
          </rPr>
          <t>======
ID#AAABFbFzZHw
tc={4E59D4AF-1966-2948-8120-1727934BEE64}    (2024-02-02 09:42:39)
[Threaded comment]
Your version of Excel allows you to read this threaded comment; however, any edits to it will get removed if the file is opened in a newer version of Excel. Learn more: https://go.microsoft.com/fwlink/?linkid=870924
Comment:
    Why is this ticked???
Reply:
    indeed, remove tick</t>
        </r>
      </text>
    </comment>
    <comment ref="E195" authorId="0" shapeId="0" xr:uid="{00000000-0006-0000-0000-000074000000}">
      <text>
        <r>
          <rPr>
            <sz val="10"/>
            <color rgb="FF000000"/>
            <rFont val="Arial"/>
            <family val="2"/>
            <scheme val="minor"/>
          </rPr>
          <t>======
ID#AAABFbFzZAY
tc={C3AE4CAF-1FE6-FE4E-AF07-B28CAD31D425}    (2024-02-02 09:42:38)
[Threaded comment]
Your version of Excel allows you to read this threaded comment; however, any edits to it will get removed if the file is opened in a newer version of Excel. Learn more: https://go.microsoft.com/fwlink/?linkid=870924
Comment:
    Removed: architecture is never mentioned.</t>
        </r>
      </text>
    </comment>
    <comment ref="F196" authorId="0" shapeId="0" xr:uid="{00000000-0006-0000-0000-00003B000000}">
      <text>
        <r>
          <rPr>
            <sz val="10"/>
            <color rgb="FF000000"/>
            <rFont val="Arial"/>
            <family val="2"/>
            <scheme val="minor"/>
          </rPr>
          <t>======
ID#AAABFbFzZEg
tc={D16EDEDC-0907-9641-ACE5-89C210DD8467}    (2024-02-02 09:42:39)
[Threaded comment]
Your version of Excel allows you to read this threaded comment; however, any edits to it will get removed if the file is opened in a newer version of Excel. Learn more: https://go.microsoft.com/fwlink/?linkid=870924
Comment:
    Removed: not the kind of design we intend here.</t>
        </r>
      </text>
    </comment>
    <comment ref="Q196" authorId="0" shapeId="0" xr:uid="{00000000-0006-0000-0000-000041000000}">
      <text>
        <r>
          <rPr>
            <sz val="10"/>
            <color rgb="FF000000"/>
            <rFont val="Arial"/>
            <family val="2"/>
            <scheme val="minor"/>
          </rPr>
          <t>======
ID#AAABFbFzZEI
tc={C09D7C5C-652B-40CA-BB2D-F46E64011637}    (2024-02-02 09:42:39)
[Threaded comment]
Your version of Excel allows you to read this threaded comment; however, any edits to it will get removed if the file is opened in a newer version of Excel. Learn more: https://go.microsoft.com/fwlink/?linkid=870924
Comment:
    about validation (e.g. syntax correctnesss)</t>
        </r>
      </text>
    </comment>
    <comment ref="F197" authorId="0" shapeId="0" xr:uid="{00000000-0006-0000-0000-00007A000000}">
      <text>
        <r>
          <rPr>
            <sz val="10"/>
            <color rgb="FF000000"/>
            <rFont val="Arial"/>
            <family val="2"/>
            <scheme val="minor"/>
          </rPr>
          <t>======
ID#AAABFbFzZAA
tc={0AB89A50-9BA8-3C4F-A015-A23256CEB138}    (2024-02-02 09:42:38)
[Threaded comment]
Your version of Excel allows you to read this threaded comment; however, any edits to it will get removed if the file is opened in a newer version of Excel. Learn more: https://go.microsoft.com/fwlink/?linkid=870924
Comment:
    Removed, as this was architectural design</t>
        </r>
      </text>
    </comment>
    <comment ref="D198" authorId="0" shapeId="0" xr:uid="{00000000-0006-0000-0000-000005000000}">
      <text>
        <r>
          <rPr>
            <sz val="10"/>
            <color rgb="FF000000"/>
            <rFont val="Arial"/>
            <family val="2"/>
            <scheme val="minor"/>
          </rPr>
          <t>======
ID#AAABFbFzZIw
tc={7DCCF676-82A2-994E-AA02-4C458BDD8E46}    (2024-02-02 09:42:39)
[Threaded comment]
Your version of Excel allows you to read this threaded comment; however, any edits to it will get removed if the file is opened in a newer version of Excel. Learn more: https://go.microsoft.com/fwlink/?linkid=870924
Comment:
    Removed based on description</t>
        </r>
      </text>
    </comment>
    <comment ref="F198" authorId="0" shapeId="0" xr:uid="{00000000-0006-0000-0000-00002C000000}">
      <text>
        <r>
          <rPr>
            <sz val="10"/>
            <color rgb="FF000000"/>
            <rFont val="Arial"/>
            <family val="2"/>
            <scheme val="minor"/>
          </rPr>
          <t>======
ID#AAABFbFzZF0
tc={13FEDBB1-8A54-AE4B-BFB6-0FE41624B30D}    (2024-02-02 09:42:39)
[Threaded comment]
Your version of Excel allows you to read this threaded comment; however, any edits to it will get removed if the file is opened in a newer version of Excel. Learn more: https://go.microsoft.com/fwlink/?linkid=870924
Comment:
    Added: design is listed</t>
        </r>
      </text>
    </comment>
    <comment ref="R203" authorId="0" shapeId="0" xr:uid="{00000000-0006-0000-0000-000043000000}">
      <text>
        <r>
          <rPr>
            <sz val="10"/>
            <color rgb="FF000000"/>
            <rFont val="Arial"/>
            <family val="2"/>
            <scheme val="minor"/>
          </rPr>
          <t>======
ID#AAABFbFzZEA
tc={F49791B9-9475-BA48-A6CE-D65C8CC0AEEB}    (2024-02-02 09:42:39)
[Threaded comment]
Your version of Excel allows you to read this threaded comment; however, any edits to it will get removed if the file is opened in a newer version of Excel. Learn more: https://go.microsoft.com/fwlink/?linkid=870924
Comment:
    Removed</t>
        </r>
      </text>
    </comment>
    <comment ref="H204" authorId="0" shapeId="0" xr:uid="{00000000-0006-0000-0000-00001A000000}">
      <text>
        <r>
          <rPr>
            <sz val="10"/>
            <color rgb="FF000000"/>
            <rFont val="Arial"/>
            <family val="2"/>
            <scheme val="minor"/>
          </rPr>
          <t>======
ID#AAABFbFzZHM
tc={F7B6A6E0-B91F-4303-ACB2-8C0BC3799D63}    (2024-02-02 09:42:39)
[Threaded comment]
Your version of Excel allows you to read this threaded comment; however, any edits to it will get removed if the file is opened in a newer version of Excel. Learn more: https://go.microsoft.com/fwlink/?linkid=870924
Comment:
    This is the only "Project" course that also ticks Testing (correctly, imo)</t>
        </r>
      </text>
    </comment>
    <comment ref="F205" authorId="0" shapeId="0" xr:uid="{00000000-0006-0000-0000-000077000000}">
      <text>
        <r>
          <rPr>
            <sz val="10"/>
            <color rgb="FF000000"/>
            <rFont val="Arial"/>
            <family val="2"/>
            <scheme val="minor"/>
          </rPr>
          <t>======
ID#AAABFbFzZAM
tc={5D3CD6F6-5E64-464B-BE2C-486926B01EA3}    (2024-02-02 09:42:38)
[Threaded comment]
Your version of Excel allows you to read this threaded comment; however, any edits to it will get removed if the file is opened in a newer version of Excel. Learn more: https://go.microsoft.com/fwlink/?linkid=870924
Comment:
    Added</t>
        </r>
      </text>
    </comment>
    <comment ref="F207" authorId="0" shapeId="0" xr:uid="{00000000-0006-0000-0000-00006C000000}">
      <text>
        <r>
          <rPr>
            <sz val="10"/>
            <color rgb="FF000000"/>
            <rFont val="Arial"/>
            <family val="2"/>
            <scheme val="minor"/>
          </rPr>
          <t>======
ID#AAABFbFzZA4
tc={B0D9AD4C-13F7-9741-8623-4534C3737A03}    (2024-02-02 09:42:38)
[Threaded comment]
Your version of Excel allows you to read this threaded comment; however, any edits to it will get removed if the file is opened in a newer version of Excel. Learn more: https://go.microsoft.com/fwlink/?linkid=870924
Comment:
    Uses the keyword “refactoring”</t>
        </r>
      </text>
    </comment>
    <comment ref="G207" authorId="0" shapeId="0" xr:uid="{00000000-0006-0000-0000-00007D000000}">
      <text>
        <r>
          <rPr>
            <sz val="10"/>
            <color rgb="FF000000"/>
            <rFont val="Arial"/>
            <family val="2"/>
            <scheme val="minor"/>
          </rPr>
          <t>======
ID#AAABFbFzY_s
tc={8334FE03-B107-9D4C-BAB6-7B215F0D2DA2}    (2024-02-02 09:42:38)
[Threaded comment]
Your version of Excel allows you to read this threaded comment; however, any edits to it will get removed if the file is opened in a newer version of Excel. Learn more: https://go.microsoft.com/fwlink/?linkid=870924
Comment:
    Refactoring is about design, not programming</t>
        </r>
      </text>
    </comment>
    <comment ref="D208" authorId="0" shapeId="0" xr:uid="{00000000-0006-0000-0000-00001B000000}">
      <text>
        <r>
          <rPr>
            <sz val="10"/>
            <color rgb="FF000000"/>
            <rFont val="Arial"/>
            <family val="2"/>
            <scheme val="minor"/>
          </rPr>
          <t>======
ID#AAABFbFzZHE
tc={82B87112-6718-CD42-B041-644FED9517F4}    (2024-02-02 09:42:39)
[Threaded comment]
Your version of Excel allows you to read this threaded comment; however, any edits to it will get removed if the file is opened in a newer version of Excel. Learn more: https://go.microsoft.com/fwlink/?linkid=870924
Comment:
    Removed, it only starts with an SRS but no focus on that</t>
        </r>
      </text>
    </comment>
    <comment ref="F208" authorId="0" shapeId="0" xr:uid="{00000000-0006-0000-0000-000059000000}">
      <text>
        <r>
          <rPr>
            <sz val="10"/>
            <color rgb="FF000000"/>
            <rFont val="Arial"/>
            <family val="2"/>
            <scheme val="minor"/>
          </rPr>
          <t>======
ID#AAABFbFzZCI
tc={EAF0F581-A0B2-8345-9B24-A11167B8400E}    (2024-02-02 09:42:38)
[Threaded comment]
Your version of Excel allows you to read this threaded comment; however, any edits to it will get removed if the file is opened in a newer version of Excel. Learn more: https://go.microsoft.com/fwlink/?linkid=870924
Comment:
    Removed: design of test cases</t>
        </r>
      </text>
    </comment>
    <comment ref="I208" authorId="0" shapeId="0" xr:uid="{00000000-0006-0000-0000-000015000000}">
      <text>
        <r>
          <rPr>
            <sz val="10"/>
            <color rgb="FF000000"/>
            <rFont val="Arial"/>
            <family val="2"/>
            <scheme val="minor"/>
          </rPr>
          <t>======
ID#AAABFbFzZHk
tc={CEE34963-E2EE-454B-BDAA-4009114FCDC1}    (2024-02-02 09:42:39)
[Threaded comment]
Your version of Excel allows you to read this threaded comment; however, any edits to it will get removed if the file is opened in a newer version of Excel. Learn more: https://go.microsoft.com/fwlink/?linkid=870924
Comment:
    Removed by Roberto</t>
        </r>
      </text>
    </comment>
    <comment ref="Q208" authorId="0" shapeId="0" xr:uid="{00000000-0006-0000-0000-000019000000}">
      <text>
        <r>
          <rPr>
            <sz val="10"/>
            <color rgb="FF000000"/>
            <rFont val="Arial"/>
            <family val="2"/>
            <scheme val="minor"/>
          </rPr>
          <t>======
ID#AAABFbFzZHQ
tc={10F71759-5B7C-44DE-9E2B-4CECCFC0AA8C}    (2024-02-02 09:42:39)
[Threaded comment]
Your version of Excel allows you to read this threaded comment; however, any edits to it will get removed if the file is opened in a newer version of Excel. Learn more: https://go.microsoft.com/fwlink/?linkid=870924
Comment:
    seems to be testing only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P27AgYBmPcErEsfMyg9Pjl5RN5w=="/>
    </ext>
  </extLst>
</comments>
</file>

<file path=xl/sharedStrings.xml><?xml version="1.0" encoding="utf-8"?>
<sst xmlns="http://schemas.openxmlformats.org/spreadsheetml/2006/main" count="1596" uniqueCount="218">
  <si>
    <t>Course name</t>
  </si>
  <si>
    <t>Uni</t>
  </si>
  <si>
    <t>Requirements</t>
  </si>
  <si>
    <t>Architecture</t>
  </si>
  <si>
    <t>Design</t>
  </si>
  <si>
    <t>Construction &amp; Programming ***</t>
  </si>
  <si>
    <t>Testing</t>
  </si>
  <si>
    <t>Operations</t>
  </si>
  <si>
    <t>Maintenance</t>
  </si>
  <si>
    <t>Configuration mgmt</t>
  </si>
  <si>
    <t>SE management</t>
  </si>
  <si>
    <t>SE process</t>
  </si>
  <si>
    <t>SE models*</t>
  </si>
  <si>
    <t>SW Security</t>
  </si>
  <si>
    <t>SE economics</t>
  </si>
  <si>
    <t>Verification**</t>
  </si>
  <si>
    <t>Progr. Language design**</t>
  </si>
  <si>
    <t>Software Maintenance and Evolution</t>
  </si>
  <si>
    <t>RUG</t>
  </si>
  <si>
    <t>X</t>
  </si>
  <si>
    <t xml:space="preserve">Release Engineering for Software Engineering </t>
  </si>
  <si>
    <t>TUD</t>
  </si>
  <si>
    <t>Software Analytics</t>
  </si>
  <si>
    <t>Software Engineering Methods</t>
  </si>
  <si>
    <t>Software Development and Product Management</t>
  </si>
  <si>
    <t>UL</t>
  </si>
  <si>
    <t>Software Process</t>
  </si>
  <si>
    <t>UVA</t>
  </si>
  <si>
    <t>Software Development Entrepreneurship</t>
  </si>
  <si>
    <t>RU</t>
  </si>
  <si>
    <t>Systems Development Management</t>
  </si>
  <si>
    <t>Evidence-Based Software Engineering</t>
  </si>
  <si>
    <t>Projectmanagement</t>
  </si>
  <si>
    <t>Software Management</t>
  </si>
  <si>
    <t>UT</t>
  </si>
  <si>
    <t>Requirements Engineering</t>
  </si>
  <si>
    <t>VU</t>
  </si>
  <si>
    <t>Software evolution</t>
  </si>
  <si>
    <t>TU/e</t>
  </si>
  <si>
    <t>Software Containerization</t>
  </si>
  <si>
    <t>Advanced Object Oriented Programming</t>
  </si>
  <si>
    <t>Programming</t>
  </si>
  <si>
    <t>DevOps and Cloud-based Systems</t>
  </si>
  <si>
    <t xml:space="preserve">Software quality management </t>
  </si>
  <si>
    <t>OU</t>
  </si>
  <si>
    <t xml:space="preserve">Objectgeoriënteerd analyseren en ontwerpen </t>
  </si>
  <si>
    <t>Testing Techniques</t>
  </si>
  <si>
    <t>Software Development</t>
  </si>
  <si>
    <t>Systeemontwikkelingsmethoden</t>
  </si>
  <si>
    <t>UU</t>
  </si>
  <si>
    <t>Method Engineering</t>
  </si>
  <si>
    <t>Modelleren en systeemontwikkeling</t>
  </si>
  <si>
    <t>System and Software Security</t>
  </si>
  <si>
    <t>Managing Software Evolution</t>
  </si>
  <si>
    <t>Architectures of IS</t>
  </si>
  <si>
    <t>Requirements Engineering and design</t>
  </si>
  <si>
    <t>Software Product Lines</t>
  </si>
  <si>
    <t>Advanced Software Architecture</t>
  </si>
  <si>
    <t>Software project management</t>
  </si>
  <si>
    <t>Analytics and Machine Learning for Software Engineering</t>
  </si>
  <si>
    <t>Seminar Business Information Systems</t>
  </si>
  <si>
    <t>Software Design</t>
  </si>
  <si>
    <t>Service Oriented Design</t>
  </si>
  <si>
    <t>Web Engineering</t>
  </si>
  <si>
    <t>Software development for Engineers</t>
  </si>
  <si>
    <t xml:space="preserve">Software testen </t>
  </si>
  <si>
    <t>Software Architecture</t>
  </si>
  <si>
    <t>Empirical Methods in Software Engineering</t>
  </si>
  <si>
    <t>Testing and Validation for AI-intensive systems</t>
  </si>
  <si>
    <t>Sustainable Software Engineering</t>
  </si>
  <si>
    <t>Software Evolution</t>
  </si>
  <si>
    <t>Digital Architecture</t>
  </si>
  <si>
    <t>Green Lab</t>
  </si>
  <si>
    <t xml:space="preserve">AppLab  </t>
  </si>
  <si>
    <t xml:space="preserve">Concepten van programmeertalen </t>
  </si>
  <si>
    <t xml:space="preserve">Functioneel programmeren </t>
  </si>
  <si>
    <t xml:space="preserve">Geavanceerd objectgeoriënteerd programmeren </t>
  </si>
  <si>
    <t xml:space="preserve">Model-driven development </t>
  </si>
  <si>
    <t xml:space="preserve">Objectgeoriënteerd programmeren </t>
  </si>
  <si>
    <t xml:space="preserve">Practicum ontwerpen en implementeren </t>
  </si>
  <si>
    <t xml:space="preserve">Software engineering </t>
  </si>
  <si>
    <t xml:space="preserve">System verification and testing </t>
  </si>
  <si>
    <t xml:space="preserve">Design for change </t>
  </si>
  <si>
    <t xml:space="preserve">Software Architecture </t>
  </si>
  <si>
    <t xml:space="preserve">Software security </t>
  </si>
  <si>
    <t>Software Specification Verification and Testing</t>
  </si>
  <si>
    <t>Functional Programming</t>
  </si>
  <si>
    <t>Object Oriented Programming</t>
  </si>
  <si>
    <t>Research &amp; Development project</t>
  </si>
  <si>
    <t>Semantics and Rewriting</t>
  </si>
  <si>
    <t>Software Engineering</t>
  </si>
  <si>
    <t>Software Verification</t>
  </si>
  <si>
    <t>Imperative Programming</t>
  </si>
  <si>
    <t>Advanced Programming</t>
  </si>
  <si>
    <t>Compiler construction</t>
  </si>
  <si>
    <t>Model checking</t>
  </si>
  <si>
    <t>Program verification with types and logic</t>
  </si>
  <si>
    <t>Research Seminar Software Science</t>
  </si>
  <si>
    <t>Software Security</t>
  </si>
  <si>
    <t>Type Theory and Coq</t>
  </si>
  <si>
    <t>Advanced programming in C++</t>
  </si>
  <si>
    <t>Compiler Construction</t>
  </si>
  <si>
    <t>Introduction to Scientific Computing</t>
  </si>
  <si>
    <t>Object-Oriented Programming (for CS)</t>
  </si>
  <si>
    <t>Parallel Computing</t>
  </si>
  <si>
    <t>Problem Analysis and Software Design</t>
  </si>
  <si>
    <t>Program Correctness</t>
  </si>
  <si>
    <t>Programming in C++</t>
  </si>
  <si>
    <t>Short programming project</t>
  </si>
  <si>
    <t>Software Language Engineering</t>
  </si>
  <si>
    <t>Advanced Parallel Programming</t>
  </si>
  <si>
    <t>Models and Semantics of Computation</t>
  </si>
  <si>
    <t>Web and Cloud Computing</t>
  </si>
  <si>
    <t>Advanced Software Engineering</t>
  </si>
  <si>
    <t xml:space="preserve">CBL Autonomous Systems Twinning </t>
  </si>
  <si>
    <t>Provable Programming</t>
  </si>
  <si>
    <t>Software Engineering Project</t>
  </si>
  <si>
    <t>Program Verification Techniques</t>
  </si>
  <si>
    <t>Domain specific language design</t>
  </si>
  <si>
    <t>Artificial Intelligence for Software Testing and Reverse Engineering</t>
  </si>
  <si>
    <t>System design engineering</t>
  </si>
  <si>
    <t>Concepts of Programming Languages</t>
  </si>
  <si>
    <t>OOP Project</t>
  </si>
  <si>
    <t>Software Engineering Methods (Minors)</t>
  </si>
  <si>
    <t>Software Project</t>
  </si>
  <si>
    <t>Object-Oriented Programming</t>
  </si>
  <si>
    <t>Software Testing and Risk Assessment</t>
  </si>
  <si>
    <t>Language-based Software Security</t>
  </si>
  <si>
    <t>Cryptographic Engineering</t>
  </si>
  <si>
    <t>Basic Programming in Python</t>
  </si>
  <si>
    <t>Introduction to Programming (BSc)</t>
  </si>
  <si>
    <t>Programmeermethoden</t>
  </si>
  <si>
    <t>Programming Techniques</t>
  </si>
  <si>
    <t>Security</t>
  </si>
  <si>
    <t>Computational Models and Semantics</t>
  </si>
  <si>
    <t>Creative Programming</t>
  </si>
  <si>
    <t>Project Systems Testing</t>
  </si>
  <si>
    <t>ICT Architectures</t>
  </si>
  <si>
    <t>Software Testing</t>
  </si>
  <si>
    <t>Systems Development</t>
  </si>
  <si>
    <t>M1 Pearls of Computer Science</t>
  </si>
  <si>
    <t>M11 Design Project</t>
  </si>
  <si>
    <t>M4 Data &amp; Information</t>
  </si>
  <si>
    <t>M8 Programming Paradigms</t>
  </si>
  <si>
    <t>Design of Software Architectures</t>
  </si>
  <si>
    <t>Industrial Software Engineering project</t>
  </si>
  <si>
    <t>Interactive Theorem Proving</t>
  </si>
  <si>
    <t>Model driven engineering</t>
  </si>
  <si>
    <t>Modelling and Analysis of Concurrent Systems</t>
  </si>
  <si>
    <t>Program Verification / Software Science 15</t>
  </si>
  <si>
    <t>Security Verification</t>
  </si>
  <si>
    <t>Service-oriented Architecture with Web services</t>
  </si>
  <si>
    <t>Software Engineering Techniques</t>
  </si>
  <si>
    <t>Software Specification</t>
  </si>
  <si>
    <t>System Validation</t>
  </si>
  <si>
    <t>Computational thinking</t>
  </si>
  <si>
    <t>Computationeel denken</t>
  </si>
  <si>
    <t>Functioneel programmeren</t>
  </si>
  <si>
    <t>Gameprogrammeren</t>
  </si>
  <si>
    <t>Gametechnologie introductieproject</t>
  </si>
  <si>
    <t>Imperatief programmeren</t>
  </si>
  <si>
    <t>Informatica introductieproject</t>
  </si>
  <si>
    <t>Informatica softwareproject</t>
  </si>
  <si>
    <t>Information security</t>
  </si>
  <si>
    <t>Modelleren en programmeren</t>
  </si>
  <si>
    <t>Software Quality and Testing</t>
  </si>
  <si>
    <t>Product software</t>
  </si>
  <si>
    <t>M2 Software Systems</t>
  </si>
  <si>
    <t>Talen en compilers</t>
  </si>
  <si>
    <t>Webtechnologie</t>
  </si>
  <si>
    <t>Advanced functional programming</t>
  </si>
  <si>
    <t>Concepts of programming language design</t>
  </si>
  <si>
    <t>Domain-specific languages</t>
  </si>
  <si>
    <t>Program semantics and verification</t>
  </si>
  <si>
    <t>Science-based entrepreneurship</t>
  </si>
  <si>
    <t>Software Ecosystems</t>
  </si>
  <si>
    <t>C++ programmeermethoden</t>
  </si>
  <si>
    <t>Computer Systems and Engineering - Information and Data management</t>
  </si>
  <si>
    <t>Distributed and Parallel Programming</t>
  </si>
  <si>
    <t>Inleiding Programmeren</t>
  </si>
  <si>
    <t>Introductie in Programmeren</t>
  </si>
  <si>
    <t>Programeerproject</t>
  </si>
  <si>
    <t>Programmeertalen</t>
  </si>
  <si>
    <t>Programmeren 1</t>
  </si>
  <si>
    <t>Programmeren 2</t>
  </si>
  <si>
    <t>Programmeren en Experimenteren</t>
  </si>
  <si>
    <t>Programmeren IK</t>
  </si>
  <si>
    <t>Programming for Computational Sciences</t>
  </si>
  <si>
    <t>Programming in R</t>
  </si>
  <si>
    <t>Project Software Engineering</t>
  </si>
  <si>
    <t>Python for Data Processing</t>
  </si>
  <si>
    <t>Scientific Programming 1</t>
  </si>
  <si>
    <t>Scientific Programming 2</t>
  </si>
  <si>
    <t>Theory of functional programming</t>
  </si>
  <si>
    <t>Model-based Design of Cyber-physical Systems</t>
  </si>
  <si>
    <t>Software testing en verificatie</t>
  </si>
  <si>
    <t>Computational Thinking for Coders</t>
  </si>
  <si>
    <t>Computer Programming</t>
  </si>
  <si>
    <t>Computer Programming Project</t>
  </si>
  <si>
    <t>Equational Programming</t>
  </si>
  <si>
    <t>Introduction to Programming</t>
  </si>
  <si>
    <t>Object-Oriented and Functional Programming</t>
  </si>
  <si>
    <t>Secure programming</t>
  </si>
  <si>
    <t>Security and Safety Engineering</t>
  </si>
  <si>
    <t>Web Technology</t>
  </si>
  <si>
    <t>Fundamentals of Adaptive Software</t>
  </si>
  <si>
    <t>Individual Systems Practical</t>
  </si>
  <si>
    <t>Industrial Internship</t>
  </si>
  <si>
    <t>Parallel Programming Practical</t>
  </si>
  <si>
    <t>Programming Large-Scale Parallel Systems</t>
  </si>
  <si>
    <t>Foundations of Software Testing</t>
  </si>
  <si>
    <t>Software Asset Management</t>
  </si>
  <si>
    <t>Software verification</t>
  </si>
  <si>
    <t>Imperative programming</t>
  </si>
  <si>
    <t>s</t>
  </si>
  <si>
    <t>ADDED</t>
  </si>
  <si>
    <t>REMOVED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</si>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</sst>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1"/>
      <color rgb="FFD9E2F3"/>
      <name val="Calibri"/>
      <family val="2"/>
    </font>
    <font>
      <sz val="10"/>
      <color rgb="FF000000"/>
      <name val="Arial"/>
      <family val="2"/>
      <scheme val="minor"/>
    </font>
    <font>
      <sz val="11"/>
      <color rgb="FFD9E1F2"/>
      <name val="Calibri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BDD6EE"/>
        <bgColor rgb="FFBDD6EE"/>
      </patternFill>
    </fill>
    <fill>
      <patternFill patternType="solid">
        <fgColor rgb="FFE2EFDA"/>
        <bgColor rgb="FF000000"/>
      </patternFill>
    </fill>
    <fill>
      <patternFill patternType="solid">
        <fgColor rgb="FFB4C6E7"/>
        <bgColor rgb="FF0000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textRotation="90"/>
    </xf>
    <xf numFmtId="0" fontId="1" fillId="2" borderId="1" xfId="0" applyFont="1" applyFill="1" applyBorder="1" applyAlignment="1">
      <alignment horizontal="center" vertical="center" textRotation="90" wrapText="1"/>
    </xf>
    <xf numFmtId="0" fontId="1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2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0" borderId="2" xfId="0" applyFont="1" applyBorder="1"/>
    <xf numFmtId="0" fontId="1" fillId="5" borderId="2" xfId="0" applyFont="1" applyFill="1" applyBorder="1" applyAlignment="1">
      <alignment horizontal="center" vertical="center" textRotation="90"/>
    </xf>
    <xf numFmtId="0" fontId="1" fillId="5" borderId="2" xfId="0" applyFont="1" applyFill="1" applyBorder="1" applyAlignment="1">
      <alignment horizontal="center" vertical="center" textRotation="90" wrapText="1"/>
    </xf>
    <xf numFmtId="0" fontId="1" fillId="0" borderId="2" xfId="0" applyFont="1" applyBorder="1" applyAlignment="1">
      <alignment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5" Type="http://schemas.openxmlformats.org/officeDocument/2006/relationships/calcChain" Target="calcChain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4128F-3F96-D140-9BC3-CCCACB786C5C}">
  <dimension ref="A1:R209"/>
  <sheetViews>
    <sheetView topLeftCell="A65" workbookViewId="0">
      <selection activeCell="H84" sqref="H84"/>
    </sheetView>
  </sheetViews>
  <sheetFormatPr baseColWidth="10" defaultRowHeight="13" x14ac:dyDescent="0.15"/>
  <cols>
    <col min="1" max="1" width="41.83203125" customWidth="1"/>
    <col min="3" max="3" width="20.83203125" customWidth="1"/>
    <col min="4" max="6" width="3.5" bestFit="1" customWidth="1"/>
    <col min="7" max="7" width="6" bestFit="1" customWidth="1"/>
    <col min="8" max="17" width="3.5" bestFit="1" customWidth="1"/>
    <col min="18" max="18" width="6" bestFit="1" customWidth="1"/>
  </cols>
  <sheetData>
    <row r="1" spans="1:18" ht="162" x14ac:dyDescent="0.2">
      <c r="A1" s="20" t="s">
        <v>0</v>
      </c>
      <c r="B1" s="20" t="s">
        <v>1</v>
      </c>
      <c r="C1" s="20" t="s">
        <v>217</v>
      </c>
      <c r="D1" s="21" t="s">
        <v>2</v>
      </c>
      <c r="E1" s="21" t="s">
        <v>3</v>
      </c>
      <c r="F1" s="21" t="s">
        <v>4</v>
      </c>
      <c r="G1" s="22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2" t="s">
        <v>16</v>
      </c>
    </row>
    <row r="2" spans="1:18" ht="16" x14ac:dyDescent="0.2">
      <c r="A2" s="23" t="s">
        <v>73</v>
      </c>
      <c r="B2" s="24" t="s">
        <v>44</v>
      </c>
      <c r="C2" s="24" t="str">
        <f>_xlfn.CONCAT(B2, " ", A2)</f>
        <v xml:space="preserve">OU AppLab  </v>
      </c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16" x14ac:dyDescent="0.2">
      <c r="A3" s="23" t="s">
        <v>74</v>
      </c>
      <c r="B3" s="24" t="s">
        <v>44</v>
      </c>
      <c r="C3" s="24" t="str">
        <f t="shared" ref="C3:C66" si="0">_xlfn.CONCAT(B3, " ", A3)</f>
        <v xml:space="preserve">OU Concepten van programmeertalen </v>
      </c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 t="s">
        <v>19</v>
      </c>
    </row>
    <row r="4" spans="1:18" ht="16" x14ac:dyDescent="0.2">
      <c r="A4" s="23" t="s">
        <v>75</v>
      </c>
      <c r="B4" s="24" t="s">
        <v>44</v>
      </c>
      <c r="C4" s="24" t="str">
        <f t="shared" si="0"/>
        <v xml:space="preserve">OU Functioneel programmeren </v>
      </c>
      <c r="D4" s="25"/>
      <c r="E4" s="25"/>
      <c r="F4" s="25"/>
      <c r="G4" s="25" t="s">
        <v>19</v>
      </c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6" x14ac:dyDescent="0.2">
      <c r="A5" s="23" t="s">
        <v>76</v>
      </c>
      <c r="B5" s="24" t="s">
        <v>44</v>
      </c>
      <c r="C5" s="24" t="str">
        <f t="shared" si="0"/>
        <v xml:space="preserve">OU Geavanceerd objectgeoriënteerd programmeren </v>
      </c>
      <c r="D5" s="25"/>
      <c r="E5" s="25"/>
      <c r="F5" s="25" t="s">
        <v>19</v>
      </c>
      <c r="G5" s="25" t="s">
        <v>19</v>
      </c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16" x14ac:dyDescent="0.2">
      <c r="A6" s="23" t="s">
        <v>77</v>
      </c>
      <c r="B6" s="24" t="s">
        <v>44</v>
      </c>
      <c r="C6" s="24" t="str">
        <f t="shared" si="0"/>
        <v xml:space="preserve">OU Model-driven development </v>
      </c>
      <c r="D6" s="25"/>
      <c r="E6" s="25"/>
      <c r="F6" s="25" t="s">
        <v>19</v>
      </c>
      <c r="G6" s="25" t="s">
        <v>19</v>
      </c>
      <c r="H6" s="25"/>
      <c r="I6" s="25"/>
      <c r="J6" s="25"/>
      <c r="K6" s="25"/>
      <c r="L6" s="25"/>
      <c r="M6" s="25"/>
      <c r="N6" s="25" t="s">
        <v>19</v>
      </c>
      <c r="O6" s="25"/>
      <c r="P6" s="25"/>
      <c r="Q6" s="25"/>
      <c r="R6" s="25"/>
    </row>
    <row r="7" spans="1:18" ht="15" x14ac:dyDescent="0.2">
      <c r="A7" s="20" t="s">
        <v>45</v>
      </c>
      <c r="B7" s="24" t="s">
        <v>44</v>
      </c>
      <c r="C7" s="24" t="str">
        <f t="shared" si="0"/>
        <v xml:space="preserve">OU Objectgeoriënteerd analyseren en ontwerpen </v>
      </c>
      <c r="D7" s="25" t="s">
        <v>19</v>
      </c>
      <c r="E7" s="25"/>
      <c r="F7" s="25" t="s">
        <v>19</v>
      </c>
      <c r="G7" s="25"/>
      <c r="H7" s="25"/>
      <c r="I7" s="25"/>
      <c r="J7" s="25"/>
      <c r="K7" s="25"/>
      <c r="L7" s="25"/>
      <c r="M7" s="25" t="s">
        <v>19</v>
      </c>
      <c r="N7" s="25" t="s">
        <v>19</v>
      </c>
      <c r="O7" s="25"/>
      <c r="P7" s="25"/>
      <c r="Q7" s="25"/>
      <c r="R7" s="25"/>
    </row>
    <row r="8" spans="1:18" ht="16" x14ac:dyDescent="0.2">
      <c r="A8" s="23" t="s">
        <v>78</v>
      </c>
      <c r="B8" s="24" t="s">
        <v>44</v>
      </c>
      <c r="C8" s="24" t="str">
        <f t="shared" si="0"/>
        <v xml:space="preserve">OU Objectgeoriënteerd programmeren </v>
      </c>
      <c r="D8" s="25"/>
      <c r="E8" s="25"/>
      <c r="F8" s="25"/>
      <c r="G8" s="25" t="s">
        <v>19</v>
      </c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</row>
    <row r="9" spans="1:18" ht="16" x14ac:dyDescent="0.2">
      <c r="A9" s="23" t="s">
        <v>79</v>
      </c>
      <c r="B9" s="24" t="s">
        <v>44</v>
      </c>
      <c r="C9" s="24" t="str">
        <f t="shared" si="0"/>
        <v xml:space="preserve">OU Practicum ontwerpen en implementeren </v>
      </c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</row>
    <row r="10" spans="1:18" ht="16" x14ac:dyDescent="0.2">
      <c r="A10" s="23" t="s">
        <v>80</v>
      </c>
      <c r="B10" s="24" t="s">
        <v>44</v>
      </c>
      <c r="C10" s="24" t="str">
        <f t="shared" si="0"/>
        <v xml:space="preserve">OU Software engineering </v>
      </c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</row>
    <row r="11" spans="1:18" ht="16" x14ac:dyDescent="0.2">
      <c r="A11" s="23" t="s">
        <v>65</v>
      </c>
      <c r="B11" s="24" t="s">
        <v>44</v>
      </c>
      <c r="C11" s="24" t="str">
        <f t="shared" si="0"/>
        <v xml:space="preserve">OU Software testen </v>
      </c>
      <c r="D11" s="25"/>
      <c r="E11" s="25"/>
      <c r="F11" s="25"/>
      <c r="G11" s="25"/>
      <c r="H11" s="25" t="s">
        <v>19</v>
      </c>
      <c r="I11" s="26" t="s">
        <v>19</v>
      </c>
      <c r="J11" s="25"/>
      <c r="K11" s="26" t="s">
        <v>19</v>
      </c>
      <c r="L11" s="25"/>
      <c r="M11" s="25"/>
      <c r="N11" s="25"/>
      <c r="O11" s="25"/>
      <c r="P11" s="25"/>
      <c r="Q11" s="25"/>
      <c r="R11" s="25"/>
    </row>
    <row r="12" spans="1:18" ht="16" x14ac:dyDescent="0.2">
      <c r="A12" s="23" t="s">
        <v>82</v>
      </c>
      <c r="B12" s="24" t="s">
        <v>44</v>
      </c>
      <c r="C12" s="24" t="str">
        <f t="shared" si="0"/>
        <v xml:space="preserve">OU Design for change </v>
      </c>
      <c r="D12" s="25"/>
      <c r="E12" s="25"/>
      <c r="F12" s="25" t="s">
        <v>19</v>
      </c>
      <c r="G12" s="25" t="s">
        <v>19</v>
      </c>
      <c r="H12" s="25"/>
      <c r="I12" s="25"/>
      <c r="J12" s="25"/>
      <c r="K12" s="25"/>
      <c r="L12" s="25"/>
      <c r="M12" s="25"/>
      <c r="N12" s="25" t="s">
        <v>19</v>
      </c>
      <c r="O12" s="25"/>
      <c r="P12" s="25"/>
      <c r="Q12" s="25"/>
      <c r="R12" s="25"/>
    </row>
    <row r="13" spans="1:18" ht="16" x14ac:dyDescent="0.2">
      <c r="A13" s="23" t="s">
        <v>83</v>
      </c>
      <c r="B13" s="24" t="s">
        <v>44</v>
      </c>
      <c r="C13" s="24" t="str">
        <f t="shared" si="0"/>
        <v xml:space="preserve">OU Software Architecture </v>
      </c>
      <c r="D13" s="25" t="s">
        <v>19</v>
      </c>
      <c r="E13" s="25" t="s">
        <v>19</v>
      </c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</row>
    <row r="14" spans="1:18" ht="16" x14ac:dyDescent="0.2">
      <c r="A14" s="23" t="s">
        <v>43</v>
      </c>
      <c r="B14" s="24" t="s">
        <v>44</v>
      </c>
      <c r="C14" s="24" t="str">
        <f t="shared" si="0"/>
        <v xml:space="preserve">OU Software quality management </v>
      </c>
      <c r="D14" s="25"/>
      <c r="E14" s="25"/>
      <c r="F14" s="25"/>
      <c r="G14" s="25" t="s">
        <v>19</v>
      </c>
      <c r="H14" s="25"/>
      <c r="I14" s="25"/>
      <c r="J14" s="25" t="s">
        <v>19</v>
      </c>
      <c r="K14" s="25"/>
      <c r="L14" s="25"/>
      <c r="M14" s="26" t="s">
        <v>19</v>
      </c>
      <c r="N14" s="25"/>
      <c r="O14" s="25"/>
      <c r="P14" s="25"/>
      <c r="Q14" s="25"/>
      <c r="R14" s="25"/>
    </row>
    <row r="15" spans="1:18" ht="16" x14ac:dyDescent="0.2">
      <c r="A15" s="23" t="s">
        <v>84</v>
      </c>
      <c r="B15" s="24" t="s">
        <v>44</v>
      </c>
      <c r="C15" s="24" t="str">
        <f t="shared" si="0"/>
        <v xml:space="preserve">OU Software security </v>
      </c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 t="s">
        <v>19</v>
      </c>
      <c r="P15" s="25"/>
      <c r="Q15" s="25"/>
      <c r="R15" s="25"/>
    </row>
    <row r="16" spans="1:18" ht="16" x14ac:dyDescent="0.2">
      <c r="A16" s="23" t="s">
        <v>81</v>
      </c>
      <c r="B16" s="24" t="s">
        <v>44</v>
      </c>
      <c r="C16" s="24" t="str">
        <f t="shared" si="0"/>
        <v xml:space="preserve">OU System verification and testing </v>
      </c>
      <c r="D16" s="25"/>
      <c r="E16" s="25"/>
      <c r="F16" s="25"/>
      <c r="G16" s="25"/>
      <c r="H16" s="25" t="s">
        <v>19</v>
      </c>
      <c r="I16" s="25"/>
      <c r="J16" s="25"/>
      <c r="K16" s="25"/>
      <c r="L16" s="25"/>
      <c r="M16" s="25"/>
      <c r="N16" s="25"/>
      <c r="O16" s="25"/>
      <c r="P16" s="25"/>
      <c r="Q16" s="25" t="s">
        <v>19</v>
      </c>
      <c r="R16" s="25"/>
    </row>
    <row r="17" spans="1:18" ht="15" x14ac:dyDescent="0.15">
      <c r="A17" s="24" t="s">
        <v>86</v>
      </c>
      <c r="B17" s="24" t="s">
        <v>29</v>
      </c>
      <c r="C17" s="24" t="str">
        <f t="shared" si="0"/>
        <v>RU Functional Programming</v>
      </c>
      <c r="D17" s="25"/>
      <c r="E17" s="25"/>
      <c r="F17" s="25"/>
      <c r="G17" s="25" t="s">
        <v>19</v>
      </c>
      <c r="H17" s="25"/>
      <c r="I17" s="25"/>
      <c r="J17" s="25"/>
      <c r="K17" s="25"/>
      <c r="L17" s="25"/>
      <c r="M17" s="25"/>
      <c r="N17" s="25" t="s">
        <v>19</v>
      </c>
      <c r="O17" s="25"/>
      <c r="P17" s="25"/>
      <c r="Q17" s="25"/>
      <c r="R17" s="25"/>
    </row>
    <row r="18" spans="1:18" ht="15" x14ac:dyDescent="0.15">
      <c r="A18" s="24" t="s">
        <v>87</v>
      </c>
      <c r="B18" s="24" t="s">
        <v>29</v>
      </c>
      <c r="C18" s="24" t="str">
        <f t="shared" si="0"/>
        <v>RU Object Oriented Programming</v>
      </c>
      <c r="D18" s="25"/>
      <c r="E18" s="25"/>
      <c r="F18" s="25" t="s">
        <v>19</v>
      </c>
      <c r="G18" s="25" t="s">
        <v>19</v>
      </c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</row>
    <row r="19" spans="1:18" ht="15" x14ac:dyDescent="0.15">
      <c r="A19" s="24" t="s">
        <v>55</v>
      </c>
      <c r="B19" s="24" t="s">
        <v>29</v>
      </c>
      <c r="C19" s="24" t="str">
        <f t="shared" si="0"/>
        <v>RU Requirements Engineering and design</v>
      </c>
      <c r="D19" s="25" t="s">
        <v>19</v>
      </c>
      <c r="E19" s="25"/>
      <c r="F19" s="25"/>
      <c r="G19" s="25"/>
      <c r="H19" s="25"/>
      <c r="I19" s="25"/>
      <c r="J19" s="25"/>
      <c r="K19" s="25"/>
      <c r="L19" s="25" t="s">
        <v>19</v>
      </c>
      <c r="M19" s="25"/>
      <c r="N19" s="25"/>
      <c r="O19" s="25"/>
      <c r="P19" s="25"/>
      <c r="Q19" s="25"/>
      <c r="R19" s="25"/>
    </row>
    <row r="20" spans="1:18" ht="15" x14ac:dyDescent="0.15">
      <c r="A20" s="24" t="s">
        <v>88</v>
      </c>
      <c r="B20" s="24" t="s">
        <v>29</v>
      </c>
      <c r="C20" s="24" t="str">
        <f t="shared" si="0"/>
        <v>RU Research &amp; Development project</v>
      </c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</row>
    <row r="21" spans="1:18" ht="15" x14ac:dyDescent="0.15">
      <c r="A21" s="24" t="s">
        <v>89</v>
      </c>
      <c r="B21" s="24" t="s">
        <v>29</v>
      </c>
      <c r="C21" s="24" t="str">
        <f t="shared" si="0"/>
        <v>RU Semantics and Rewriting</v>
      </c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 t="s">
        <v>19</v>
      </c>
    </row>
    <row r="22" spans="1:18" ht="15" x14ac:dyDescent="0.15">
      <c r="A22" s="24" t="s">
        <v>90</v>
      </c>
      <c r="B22" s="24" t="s">
        <v>29</v>
      </c>
      <c r="C22" s="24" t="str">
        <f t="shared" si="0"/>
        <v>RU Software Engineering</v>
      </c>
      <c r="D22" s="25"/>
      <c r="E22" s="25"/>
      <c r="F22" s="25"/>
      <c r="G22" s="25"/>
      <c r="H22" s="26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5" x14ac:dyDescent="0.15">
      <c r="A23" s="24" t="s">
        <v>212</v>
      </c>
      <c r="B23" s="24" t="s">
        <v>29</v>
      </c>
      <c r="C23" s="24" t="str">
        <f t="shared" si="0"/>
        <v>RU Software verification</v>
      </c>
      <c r="D23" s="25"/>
      <c r="E23" s="25"/>
      <c r="F23" s="25"/>
      <c r="G23" s="25"/>
      <c r="H23" s="25" t="s">
        <v>19</v>
      </c>
      <c r="I23" s="25"/>
      <c r="J23" s="25"/>
      <c r="K23" s="25"/>
      <c r="L23" s="25"/>
      <c r="M23" s="25"/>
      <c r="N23" s="25" t="s">
        <v>19</v>
      </c>
      <c r="O23" s="25"/>
      <c r="P23" s="25"/>
      <c r="Q23" s="25" t="s">
        <v>19</v>
      </c>
      <c r="R23" s="25"/>
    </row>
    <row r="24" spans="1:18" ht="15" x14ac:dyDescent="0.15">
      <c r="A24" s="24" t="s">
        <v>213</v>
      </c>
      <c r="B24" s="24" t="s">
        <v>29</v>
      </c>
      <c r="C24" s="24" t="str">
        <f t="shared" si="0"/>
        <v>RU Imperative programming</v>
      </c>
      <c r="D24" s="25"/>
      <c r="E24" s="25"/>
      <c r="F24" s="25"/>
      <c r="G24" s="25" t="s">
        <v>19</v>
      </c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</row>
    <row r="25" spans="1:18" ht="15" x14ac:dyDescent="0.15">
      <c r="A25" s="24" t="s">
        <v>93</v>
      </c>
      <c r="B25" s="24" t="s">
        <v>29</v>
      </c>
      <c r="C25" s="24" t="str">
        <f t="shared" si="0"/>
        <v>RU Advanced Programming</v>
      </c>
      <c r="D25" s="25"/>
      <c r="E25" s="25"/>
      <c r="F25" s="25"/>
      <c r="G25" s="25" t="s">
        <v>19</v>
      </c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 t="s">
        <v>19</v>
      </c>
    </row>
    <row r="26" spans="1:18" ht="15" x14ac:dyDescent="0.15">
      <c r="A26" s="24" t="s">
        <v>94</v>
      </c>
      <c r="B26" s="24" t="s">
        <v>29</v>
      </c>
      <c r="C26" s="24" t="str">
        <f t="shared" si="0"/>
        <v>RU Compiler construction</v>
      </c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 t="s">
        <v>19</v>
      </c>
    </row>
    <row r="27" spans="1:18" ht="15" x14ac:dyDescent="0.15">
      <c r="A27" s="24" t="s">
        <v>95</v>
      </c>
      <c r="B27" s="24" t="s">
        <v>29</v>
      </c>
      <c r="C27" s="24" t="str">
        <f t="shared" si="0"/>
        <v>RU Model checking</v>
      </c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 t="s">
        <v>19</v>
      </c>
      <c r="R27" s="25"/>
    </row>
    <row r="28" spans="1:18" ht="15" x14ac:dyDescent="0.15">
      <c r="A28" s="24" t="s">
        <v>96</v>
      </c>
      <c r="B28" s="24" t="s">
        <v>29</v>
      </c>
      <c r="C28" s="24" t="str">
        <f t="shared" si="0"/>
        <v>RU Program verification with types and logic</v>
      </c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 t="s">
        <v>19</v>
      </c>
      <c r="R28" s="25" t="s">
        <v>19</v>
      </c>
    </row>
    <row r="29" spans="1:18" ht="15" x14ac:dyDescent="0.15">
      <c r="A29" s="24" t="s">
        <v>97</v>
      </c>
      <c r="B29" s="24" t="s">
        <v>29</v>
      </c>
      <c r="C29" s="24" t="str">
        <f t="shared" si="0"/>
        <v>RU Research Seminar Software Science</v>
      </c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</row>
    <row r="30" spans="1:18" ht="15" x14ac:dyDescent="0.15">
      <c r="A30" s="24" t="s">
        <v>28</v>
      </c>
      <c r="B30" s="24" t="s">
        <v>29</v>
      </c>
      <c r="C30" s="24" t="str">
        <f t="shared" si="0"/>
        <v>RU Software Development Entrepreneurship</v>
      </c>
      <c r="D30" s="25"/>
      <c r="E30" s="25"/>
      <c r="F30" s="25"/>
      <c r="G30" s="25"/>
      <c r="H30" s="25"/>
      <c r="I30" s="25"/>
      <c r="J30" s="25"/>
      <c r="K30" s="25"/>
      <c r="L30" s="25" t="s">
        <v>19</v>
      </c>
      <c r="M30" s="25" t="s">
        <v>19</v>
      </c>
      <c r="N30" s="25"/>
      <c r="O30" s="25"/>
      <c r="P30" s="25" t="s">
        <v>19</v>
      </c>
      <c r="Q30" s="25"/>
      <c r="R30" s="25"/>
    </row>
    <row r="31" spans="1:18" ht="15" x14ac:dyDescent="0.15">
      <c r="A31" s="24" t="s">
        <v>56</v>
      </c>
      <c r="B31" s="24" t="s">
        <v>29</v>
      </c>
      <c r="C31" s="24" t="str">
        <f t="shared" si="0"/>
        <v>RU Software Product Lines</v>
      </c>
      <c r="D31" s="25"/>
      <c r="E31" s="25" t="s">
        <v>19</v>
      </c>
      <c r="F31" s="25"/>
      <c r="G31" s="25"/>
      <c r="H31" s="25"/>
      <c r="I31" s="25" t="s">
        <v>19</v>
      </c>
      <c r="J31" s="25"/>
      <c r="K31" s="25"/>
      <c r="L31" s="25" t="s">
        <v>19</v>
      </c>
      <c r="M31" s="25"/>
      <c r="N31" s="25"/>
      <c r="O31" s="25"/>
      <c r="P31" s="25"/>
      <c r="Q31" s="25"/>
      <c r="R31" s="25"/>
    </row>
    <row r="32" spans="1:18" ht="15" x14ac:dyDescent="0.15">
      <c r="A32" s="24" t="s">
        <v>98</v>
      </c>
      <c r="B32" s="24" t="s">
        <v>29</v>
      </c>
      <c r="C32" s="24" t="str">
        <f t="shared" si="0"/>
        <v>RU Software Security</v>
      </c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 t="s">
        <v>19</v>
      </c>
      <c r="P32" s="25"/>
      <c r="Q32" s="25"/>
      <c r="R32" s="25"/>
    </row>
    <row r="33" spans="1:18" ht="15" x14ac:dyDescent="0.15">
      <c r="A33" s="24" t="s">
        <v>30</v>
      </c>
      <c r="B33" s="24" t="s">
        <v>29</v>
      </c>
      <c r="C33" s="24" t="str">
        <f t="shared" si="0"/>
        <v>RU Systems Development Management</v>
      </c>
      <c r="D33" s="25"/>
      <c r="E33" s="25"/>
      <c r="F33" s="25"/>
      <c r="G33" s="25"/>
      <c r="H33" s="25"/>
      <c r="I33" s="25" t="s">
        <v>19</v>
      </c>
      <c r="J33" s="25"/>
      <c r="K33" s="25"/>
      <c r="L33" s="25" t="s">
        <v>19</v>
      </c>
      <c r="M33" s="25" t="s">
        <v>19</v>
      </c>
      <c r="N33" s="25"/>
      <c r="O33" s="25"/>
      <c r="P33" s="25"/>
      <c r="Q33" s="25"/>
      <c r="R33" s="25"/>
    </row>
    <row r="34" spans="1:18" ht="15" x14ac:dyDescent="0.15">
      <c r="A34" s="24" t="s">
        <v>46</v>
      </c>
      <c r="B34" s="24" t="s">
        <v>29</v>
      </c>
      <c r="C34" s="24" t="str">
        <f t="shared" si="0"/>
        <v>RU Testing Techniques</v>
      </c>
      <c r="D34" s="25"/>
      <c r="E34" s="25"/>
      <c r="F34" s="25"/>
      <c r="G34" s="25"/>
      <c r="H34" s="25" t="s">
        <v>19</v>
      </c>
      <c r="I34" s="25"/>
      <c r="J34" s="25"/>
      <c r="K34" s="25"/>
      <c r="L34" s="25"/>
      <c r="M34" s="25" t="s">
        <v>19</v>
      </c>
      <c r="N34" s="25" t="s">
        <v>19</v>
      </c>
      <c r="O34" s="25"/>
      <c r="P34" s="25"/>
      <c r="Q34" s="25"/>
      <c r="R34" s="25"/>
    </row>
    <row r="35" spans="1:18" ht="15" x14ac:dyDescent="0.15">
      <c r="A35" s="24" t="s">
        <v>99</v>
      </c>
      <c r="B35" s="24" t="s">
        <v>29</v>
      </c>
      <c r="C35" s="24" t="str">
        <f t="shared" si="0"/>
        <v>RU Type Theory and Coq</v>
      </c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 t="s">
        <v>19</v>
      </c>
      <c r="R35" s="25" t="s">
        <v>19</v>
      </c>
    </row>
    <row r="36" spans="1:18" ht="15" x14ac:dyDescent="0.2">
      <c r="A36" s="20" t="s">
        <v>40</v>
      </c>
      <c r="B36" s="20" t="s">
        <v>18</v>
      </c>
      <c r="C36" s="24" t="str">
        <f t="shared" si="0"/>
        <v>RUG Advanced Object Oriented Programming</v>
      </c>
      <c r="D36" s="25"/>
      <c r="E36" s="25"/>
      <c r="F36" s="25" t="s">
        <v>19</v>
      </c>
      <c r="G36" s="25" t="s">
        <v>19</v>
      </c>
      <c r="H36" s="26"/>
      <c r="I36" s="25"/>
      <c r="J36" s="25"/>
      <c r="K36" s="25" t="s">
        <v>19</v>
      </c>
      <c r="L36" s="26"/>
      <c r="M36" s="25" t="s">
        <v>19</v>
      </c>
      <c r="N36" s="25"/>
      <c r="O36" s="25"/>
      <c r="P36" s="25"/>
      <c r="Q36" s="26"/>
      <c r="R36" s="25"/>
    </row>
    <row r="37" spans="1:18" ht="15" x14ac:dyDescent="0.2">
      <c r="A37" s="20" t="s">
        <v>100</v>
      </c>
      <c r="B37" s="20" t="s">
        <v>18</v>
      </c>
      <c r="C37" s="24" t="str">
        <f t="shared" si="0"/>
        <v>RUG Advanced programming in C++</v>
      </c>
      <c r="D37" s="25"/>
      <c r="E37" s="25"/>
      <c r="F37" s="26"/>
      <c r="G37" s="25" t="s">
        <v>19</v>
      </c>
      <c r="H37" s="26"/>
      <c r="I37" s="26"/>
      <c r="J37" s="25"/>
      <c r="K37" s="26"/>
      <c r="L37" s="25"/>
      <c r="M37" s="25"/>
      <c r="N37" s="25"/>
      <c r="O37" s="25"/>
      <c r="P37" s="25"/>
      <c r="Q37" s="25"/>
      <c r="R37" s="25"/>
    </row>
    <row r="38" spans="1:18" ht="15" x14ac:dyDescent="0.2">
      <c r="A38" s="20" t="s">
        <v>101</v>
      </c>
      <c r="B38" s="20" t="s">
        <v>18</v>
      </c>
      <c r="C38" s="24" t="str">
        <f t="shared" si="0"/>
        <v>RUG Compiler Construction</v>
      </c>
      <c r="D38" s="25"/>
      <c r="E38" s="25"/>
      <c r="F38" s="26"/>
      <c r="G38" s="26"/>
      <c r="H38" s="26"/>
      <c r="I38" s="25"/>
      <c r="J38" s="25"/>
      <c r="K38" s="25"/>
      <c r="L38" s="25"/>
      <c r="M38" s="25"/>
      <c r="N38" s="25"/>
      <c r="O38" s="25"/>
      <c r="P38" s="25"/>
      <c r="Q38" s="26"/>
      <c r="R38" s="25" t="s">
        <v>19</v>
      </c>
    </row>
    <row r="39" spans="1:18" ht="15" x14ac:dyDescent="0.2">
      <c r="A39" s="20" t="s">
        <v>86</v>
      </c>
      <c r="B39" s="20" t="s">
        <v>18</v>
      </c>
      <c r="C39" s="24" t="str">
        <f t="shared" si="0"/>
        <v>RUG Functional Programming</v>
      </c>
      <c r="D39" s="25"/>
      <c r="E39" s="25"/>
      <c r="F39" s="25"/>
      <c r="G39" s="25" t="s">
        <v>19</v>
      </c>
      <c r="H39" s="25"/>
      <c r="I39" s="25"/>
      <c r="J39" s="25"/>
      <c r="K39" s="25"/>
      <c r="L39" s="26"/>
      <c r="M39" s="26"/>
      <c r="N39" s="26"/>
      <c r="O39" s="25"/>
      <c r="P39" s="25"/>
      <c r="Q39" s="26"/>
      <c r="R39" s="25"/>
    </row>
    <row r="40" spans="1:18" ht="15" x14ac:dyDescent="0.2">
      <c r="A40" s="20" t="s">
        <v>102</v>
      </c>
      <c r="B40" s="20" t="s">
        <v>18</v>
      </c>
      <c r="C40" s="24" t="str">
        <f t="shared" si="0"/>
        <v>RUG Introduction to Scientific Computing</v>
      </c>
      <c r="D40" s="25"/>
      <c r="E40" s="25"/>
      <c r="F40" s="26"/>
      <c r="G40" s="25" t="s">
        <v>19</v>
      </c>
      <c r="H40" s="26"/>
      <c r="I40" s="25"/>
      <c r="J40" s="25"/>
      <c r="K40" s="26"/>
      <c r="L40" s="25"/>
      <c r="M40" s="26"/>
      <c r="N40" s="25"/>
      <c r="O40" s="25"/>
      <c r="P40" s="25"/>
      <c r="Q40" s="25"/>
      <c r="R40" s="25"/>
    </row>
    <row r="41" spans="1:18" ht="15" x14ac:dyDescent="0.2">
      <c r="A41" s="20" t="s">
        <v>103</v>
      </c>
      <c r="B41" s="20" t="s">
        <v>18</v>
      </c>
      <c r="C41" s="24" t="str">
        <f t="shared" si="0"/>
        <v>RUG Object-Oriented Programming (for CS)</v>
      </c>
      <c r="D41" s="25"/>
      <c r="E41" s="25"/>
      <c r="F41" s="26"/>
      <c r="G41" s="25" t="s">
        <v>19</v>
      </c>
      <c r="H41" s="26"/>
      <c r="I41" s="26"/>
      <c r="J41" s="25"/>
      <c r="K41" s="26"/>
      <c r="L41" s="25"/>
      <c r="M41" s="26"/>
      <c r="N41" s="25" t="s">
        <v>19</v>
      </c>
      <c r="O41" s="25"/>
      <c r="P41" s="25"/>
      <c r="Q41" s="25"/>
      <c r="R41" s="25"/>
    </row>
    <row r="42" spans="1:18" ht="15" x14ac:dyDescent="0.2">
      <c r="A42" s="20" t="s">
        <v>104</v>
      </c>
      <c r="B42" s="20" t="s">
        <v>18</v>
      </c>
      <c r="C42" s="24" t="str">
        <f t="shared" si="0"/>
        <v>RUG Parallel Computing</v>
      </c>
      <c r="D42" s="25"/>
      <c r="E42" s="26"/>
      <c r="F42" s="25"/>
      <c r="G42" s="26" t="s">
        <v>19</v>
      </c>
      <c r="H42" s="25"/>
      <c r="I42" s="26"/>
      <c r="J42" s="25"/>
      <c r="K42" s="25"/>
      <c r="L42" s="25"/>
      <c r="M42" s="26"/>
      <c r="N42" s="25"/>
      <c r="O42" s="25"/>
      <c r="P42" s="25"/>
      <c r="Q42" s="25"/>
      <c r="R42" s="25"/>
    </row>
    <row r="43" spans="1:18" ht="15" x14ac:dyDescent="0.2">
      <c r="A43" s="20" t="s">
        <v>105</v>
      </c>
      <c r="B43" s="20" t="s">
        <v>18</v>
      </c>
      <c r="C43" s="24" t="str">
        <f t="shared" si="0"/>
        <v>RUG Problem Analysis and Software Design</v>
      </c>
      <c r="D43" s="25" t="s">
        <v>19</v>
      </c>
      <c r="E43" s="25"/>
      <c r="F43" s="25" t="s">
        <v>19</v>
      </c>
      <c r="G43" s="25"/>
      <c r="H43" s="25"/>
      <c r="I43" s="26"/>
      <c r="J43" s="25"/>
      <c r="K43" s="26"/>
      <c r="L43" s="25"/>
      <c r="M43" s="26"/>
      <c r="N43" s="26"/>
      <c r="O43" s="25"/>
      <c r="P43" s="25"/>
      <c r="Q43" s="25"/>
      <c r="R43" s="25"/>
    </row>
    <row r="44" spans="1:18" ht="15" x14ac:dyDescent="0.2">
      <c r="A44" s="20" t="s">
        <v>106</v>
      </c>
      <c r="B44" s="20" t="s">
        <v>18</v>
      </c>
      <c r="C44" s="24" t="str">
        <f t="shared" si="0"/>
        <v>RUG Program Correctness</v>
      </c>
      <c r="D44" s="25"/>
      <c r="E44" s="25"/>
      <c r="F44" s="25"/>
      <c r="G44" s="26"/>
      <c r="H44" s="25"/>
      <c r="I44" s="25"/>
      <c r="J44" s="25"/>
      <c r="K44" s="25"/>
      <c r="L44" s="25"/>
      <c r="M44" s="25"/>
      <c r="N44" s="25"/>
      <c r="O44" s="25" t="s">
        <v>19</v>
      </c>
      <c r="P44" s="25"/>
      <c r="Q44" s="25" t="s">
        <v>19</v>
      </c>
      <c r="R44" s="26"/>
    </row>
    <row r="45" spans="1:18" ht="15" x14ac:dyDescent="0.2">
      <c r="A45" s="20" t="s">
        <v>107</v>
      </c>
      <c r="B45" s="20" t="s">
        <v>18</v>
      </c>
      <c r="C45" s="24" t="str">
        <f t="shared" si="0"/>
        <v>RUG Programming in C++</v>
      </c>
      <c r="D45" s="25"/>
      <c r="E45" s="25"/>
      <c r="F45" s="26"/>
      <c r="G45" s="25" t="s">
        <v>19</v>
      </c>
      <c r="H45" s="26"/>
      <c r="I45" s="26"/>
      <c r="J45" s="25"/>
      <c r="K45" s="26"/>
      <c r="L45" s="25"/>
      <c r="M45" s="25"/>
      <c r="N45" s="25"/>
      <c r="O45" s="25"/>
      <c r="P45" s="25"/>
      <c r="Q45" s="25"/>
      <c r="R45" s="25"/>
    </row>
    <row r="46" spans="1:18" ht="15" x14ac:dyDescent="0.2">
      <c r="A46" s="20" t="s">
        <v>108</v>
      </c>
      <c r="B46" s="20" t="s">
        <v>18</v>
      </c>
      <c r="C46" s="24" t="str">
        <f t="shared" si="0"/>
        <v>RUG Short programming project</v>
      </c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</row>
    <row r="47" spans="1:18" ht="15" x14ac:dyDescent="0.2">
      <c r="A47" s="20" t="s">
        <v>90</v>
      </c>
      <c r="B47" s="20" t="s">
        <v>18</v>
      </c>
      <c r="C47" s="24" t="str">
        <f t="shared" si="0"/>
        <v>RUG Software Engineering</v>
      </c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</row>
    <row r="48" spans="1:18" ht="15" x14ac:dyDescent="0.2">
      <c r="A48" s="20" t="s">
        <v>109</v>
      </c>
      <c r="B48" s="20" t="s">
        <v>18</v>
      </c>
      <c r="C48" s="24" t="str">
        <f t="shared" si="0"/>
        <v>RUG Software Language Engineering</v>
      </c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6"/>
      <c r="R48" s="25" t="s">
        <v>19</v>
      </c>
    </row>
    <row r="49" spans="1:18" ht="15" x14ac:dyDescent="0.2">
      <c r="A49" s="20" t="s">
        <v>63</v>
      </c>
      <c r="B49" s="20" t="s">
        <v>18</v>
      </c>
      <c r="C49" s="24" t="str">
        <f t="shared" si="0"/>
        <v>RUG Web Engineering</v>
      </c>
      <c r="D49" s="25"/>
      <c r="E49" s="25" t="s">
        <v>19</v>
      </c>
      <c r="F49" s="25"/>
      <c r="G49" s="25" t="s">
        <v>19</v>
      </c>
      <c r="H49" s="25"/>
      <c r="I49" s="25"/>
      <c r="J49" s="25"/>
      <c r="K49" s="25" t="s">
        <v>19</v>
      </c>
      <c r="L49" s="25"/>
      <c r="M49" s="25"/>
      <c r="N49" s="25" t="s">
        <v>19</v>
      </c>
      <c r="O49" s="25"/>
      <c r="P49" s="25"/>
      <c r="Q49" s="25"/>
      <c r="R49" s="25"/>
    </row>
    <row r="50" spans="1:18" ht="15" x14ac:dyDescent="0.2">
      <c r="A50" s="20" t="s">
        <v>110</v>
      </c>
      <c r="B50" s="20" t="s">
        <v>18</v>
      </c>
      <c r="C50" s="24" t="str">
        <f t="shared" si="0"/>
        <v>RUG Advanced Parallel Programming</v>
      </c>
      <c r="D50" s="25"/>
      <c r="E50" s="26"/>
      <c r="F50" s="25"/>
      <c r="G50" s="25" t="s">
        <v>19</v>
      </c>
      <c r="H50" s="26"/>
      <c r="I50" s="25"/>
      <c r="J50" s="25"/>
      <c r="K50" s="25"/>
      <c r="L50" s="25"/>
      <c r="M50" s="25"/>
      <c r="N50" s="25"/>
      <c r="O50" s="25"/>
      <c r="P50" s="25"/>
      <c r="Q50" s="25"/>
      <c r="R50" s="25"/>
    </row>
    <row r="51" spans="1:18" ht="15" x14ac:dyDescent="0.2">
      <c r="A51" s="20" t="s">
        <v>57</v>
      </c>
      <c r="B51" s="20" t="s">
        <v>18</v>
      </c>
      <c r="C51" s="24" t="str">
        <f t="shared" si="0"/>
        <v>RUG Advanced Software Architecture</v>
      </c>
      <c r="D51" s="25"/>
      <c r="E51" s="25" t="s">
        <v>19</v>
      </c>
      <c r="F51" s="25" t="s">
        <v>19</v>
      </c>
      <c r="G51" s="25"/>
      <c r="H51" s="25"/>
      <c r="I51" s="25"/>
      <c r="J51" s="25"/>
      <c r="K51" s="25"/>
      <c r="L51" s="26" t="s">
        <v>19</v>
      </c>
      <c r="M51" s="25"/>
      <c r="N51" s="25"/>
      <c r="O51" s="25"/>
      <c r="P51" s="25"/>
      <c r="Q51" s="25"/>
      <c r="R51" s="25"/>
    </row>
    <row r="52" spans="1:18" ht="15" x14ac:dyDescent="0.2">
      <c r="A52" s="20" t="s">
        <v>31</v>
      </c>
      <c r="B52" s="20" t="s">
        <v>18</v>
      </c>
      <c r="C52" s="24" t="str">
        <f t="shared" si="0"/>
        <v>RUG Evidence-Based Software Engineering</v>
      </c>
      <c r="D52" s="25"/>
      <c r="E52" s="25"/>
      <c r="F52" s="25"/>
      <c r="G52" s="25"/>
      <c r="H52" s="25"/>
      <c r="I52" s="25" t="s">
        <v>19</v>
      </c>
      <c r="J52" s="25"/>
      <c r="K52" s="25"/>
      <c r="L52" s="25" t="s">
        <v>19</v>
      </c>
      <c r="M52" s="25" t="s">
        <v>19</v>
      </c>
      <c r="N52" s="25"/>
      <c r="O52" s="25"/>
      <c r="P52" s="25"/>
      <c r="Q52" s="25"/>
      <c r="R52" s="25"/>
    </row>
    <row r="53" spans="1:18" ht="15" x14ac:dyDescent="0.2">
      <c r="A53" s="20" t="s">
        <v>111</v>
      </c>
      <c r="B53" s="20" t="s">
        <v>18</v>
      </c>
      <c r="C53" s="24" t="str">
        <f t="shared" si="0"/>
        <v>RUG Models and Semantics of Computation</v>
      </c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 t="s">
        <v>19</v>
      </c>
      <c r="R53" s="25" t="s">
        <v>19</v>
      </c>
    </row>
    <row r="54" spans="1:18" ht="15" x14ac:dyDescent="0.2">
      <c r="A54" s="20" t="s">
        <v>22</v>
      </c>
      <c r="B54" s="20" t="s">
        <v>18</v>
      </c>
      <c r="C54" s="24" t="str">
        <f t="shared" si="0"/>
        <v>RUG Software Analytics</v>
      </c>
      <c r="D54" s="25"/>
      <c r="E54" s="25"/>
      <c r="F54" s="25"/>
      <c r="G54" s="26"/>
      <c r="H54" s="25"/>
      <c r="I54" s="25"/>
      <c r="J54" s="25" t="s">
        <v>19</v>
      </c>
      <c r="K54" s="25"/>
      <c r="L54" s="25" t="s">
        <v>19</v>
      </c>
      <c r="M54" s="25" t="s">
        <v>19</v>
      </c>
      <c r="N54" s="25"/>
      <c r="O54" s="25"/>
      <c r="P54" s="25"/>
      <c r="Q54" s="26"/>
      <c r="R54" s="25"/>
    </row>
    <row r="55" spans="1:18" ht="15" x14ac:dyDescent="0.2">
      <c r="A55" s="20" t="s">
        <v>66</v>
      </c>
      <c r="B55" s="20" t="s">
        <v>18</v>
      </c>
      <c r="C55" s="24" t="str">
        <f t="shared" si="0"/>
        <v>RUG Software Architecture</v>
      </c>
      <c r="D55" s="25"/>
      <c r="E55" s="25" t="s">
        <v>19</v>
      </c>
      <c r="F55" s="25" t="s">
        <v>19</v>
      </c>
      <c r="G55" s="25"/>
      <c r="H55" s="25"/>
      <c r="I55" s="25"/>
      <c r="J55" s="26" t="s">
        <v>19</v>
      </c>
      <c r="K55" s="25"/>
      <c r="L55" s="25"/>
      <c r="M55" s="25"/>
      <c r="N55" s="25" t="s">
        <v>19</v>
      </c>
      <c r="O55" s="25"/>
      <c r="P55" s="25"/>
      <c r="Q55" s="25"/>
      <c r="R55" s="25"/>
    </row>
    <row r="56" spans="1:18" ht="15" x14ac:dyDescent="0.2">
      <c r="A56" s="20" t="s">
        <v>17</v>
      </c>
      <c r="B56" s="20" t="s">
        <v>18</v>
      </c>
      <c r="C56" s="24" t="str">
        <f t="shared" si="0"/>
        <v>RUG Software Maintenance and Evolution</v>
      </c>
      <c r="D56" s="26"/>
      <c r="E56" s="25"/>
      <c r="F56" s="25" t="s">
        <v>19</v>
      </c>
      <c r="G56" s="26"/>
      <c r="H56" s="26"/>
      <c r="I56" s="25"/>
      <c r="J56" s="25" t="s">
        <v>19</v>
      </c>
      <c r="K56" s="25" t="s">
        <v>19</v>
      </c>
      <c r="L56" s="25" t="s">
        <v>19</v>
      </c>
      <c r="M56" s="25" t="s">
        <v>19</v>
      </c>
      <c r="N56" s="26"/>
      <c r="O56" s="25"/>
      <c r="P56" s="25"/>
      <c r="Q56" s="25"/>
      <c r="R56" s="25"/>
    </row>
    <row r="57" spans="1:18" ht="15" x14ac:dyDescent="0.2">
      <c r="A57" s="20" t="s">
        <v>112</v>
      </c>
      <c r="B57" s="20" t="s">
        <v>18</v>
      </c>
      <c r="C57" s="24" t="str">
        <f t="shared" si="0"/>
        <v>RUG Web and Cloud Computing</v>
      </c>
      <c r="D57" s="25"/>
      <c r="E57" s="26" t="s">
        <v>19</v>
      </c>
      <c r="F57" s="26"/>
      <c r="G57" s="25" t="s">
        <v>19</v>
      </c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</row>
    <row r="58" spans="1:18" ht="15" x14ac:dyDescent="0.15">
      <c r="A58" s="24" t="s">
        <v>113</v>
      </c>
      <c r="B58" s="24" t="s">
        <v>38</v>
      </c>
      <c r="C58" s="24" t="str">
        <f t="shared" si="0"/>
        <v>TU/e Advanced Software Engineering</v>
      </c>
      <c r="D58" s="26" t="s">
        <v>19</v>
      </c>
      <c r="E58" s="25" t="s">
        <v>19</v>
      </c>
      <c r="F58" s="25" t="s">
        <v>19</v>
      </c>
      <c r="G58" s="25"/>
      <c r="H58" s="25"/>
      <c r="I58" s="26" t="s">
        <v>19</v>
      </c>
      <c r="J58" s="25"/>
      <c r="K58" s="25"/>
      <c r="L58" s="25"/>
      <c r="M58" s="26"/>
      <c r="N58" s="25" t="s">
        <v>19</v>
      </c>
      <c r="O58" s="25"/>
      <c r="P58" s="25"/>
      <c r="Q58" s="25"/>
      <c r="R58" s="25"/>
    </row>
    <row r="59" spans="1:18" ht="15" x14ac:dyDescent="0.15">
      <c r="A59" s="24" t="s">
        <v>114</v>
      </c>
      <c r="B59" s="24" t="s">
        <v>38</v>
      </c>
      <c r="C59" s="24" t="str">
        <f t="shared" si="0"/>
        <v xml:space="preserve">TU/e CBL Autonomous Systems Twinning </v>
      </c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</row>
    <row r="60" spans="1:18" ht="15" x14ac:dyDescent="0.15">
      <c r="A60" s="24" t="s">
        <v>86</v>
      </c>
      <c r="B60" s="24" t="s">
        <v>38</v>
      </c>
      <c r="C60" s="24" t="str">
        <f t="shared" si="0"/>
        <v>TU/e Functional Programming</v>
      </c>
      <c r="D60" s="25"/>
      <c r="E60" s="25"/>
      <c r="F60" s="25"/>
      <c r="G60" s="25" t="s">
        <v>19</v>
      </c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6"/>
    </row>
    <row r="61" spans="1:18" ht="15" x14ac:dyDescent="0.15">
      <c r="A61" s="24" t="s">
        <v>41</v>
      </c>
      <c r="B61" s="24" t="s">
        <v>38</v>
      </c>
      <c r="C61" s="24" t="str">
        <f t="shared" si="0"/>
        <v>TU/e Programming</v>
      </c>
      <c r="D61" s="25"/>
      <c r="E61" s="25"/>
      <c r="F61" s="25"/>
      <c r="G61" s="25" t="s">
        <v>19</v>
      </c>
      <c r="H61" s="26"/>
      <c r="I61" s="25"/>
      <c r="J61" s="25"/>
      <c r="K61" s="25"/>
      <c r="L61" s="25"/>
      <c r="M61" s="25"/>
      <c r="N61" s="25"/>
      <c r="O61" s="25"/>
      <c r="P61" s="25"/>
      <c r="Q61" s="25"/>
      <c r="R61" s="26"/>
    </row>
    <row r="62" spans="1:18" ht="15" x14ac:dyDescent="0.15">
      <c r="A62" s="24" t="s">
        <v>115</v>
      </c>
      <c r="B62" s="24" t="s">
        <v>38</v>
      </c>
      <c r="C62" s="24" t="str">
        <f t="shared" si="0"/>
        <v>TU/e Provable Programming</v>
      </c>
      <c r="D62" s="25"/>
      <c r="E62" s="25"/>
      <c r="F62" s="25"/>
      <c r="G62" s="26"/>
      <c r="H62" s="26"/>
      <c r="I62" s="25"/>
      <c r="J62" s="25"/>
      <c r="K62" s="25"/>
      <c r="L62" s="25"/>
      <c r="M62" s="25"/>
      <c r="N62" s="25"/>
      <c r="O62" s="25"/>
      <c r="P62" s="25"/>
      <c r="Q62" s="25" t="s">
        <v>19</v>
      </c>
      <c r="R62" s="26"/>
    </row>
    <row r="63" spans="1:18" ht="15" x14ac:dyDescent="0.15">
      <c r="A63" s="24" t="s">
        <v>61</v>
      </c>
      <c r="B63" s="24" t="s">
        <v>38</v>
      </c>
      <c r="C63" s="24" t="str">
        <f t="shared" si="0"/>
        <v>TU/e Software Design</v>
      </c>
      <c r="D63" s="25" t="s">
        <v>19</v>
      </c>
      <c r="E63" s="25"/>
      <c r="F63" s="25" t="s">
        <v>19</v>
      </c>
      <c r="G63" s="26"/>
      <c r="H63" s="26"/>
      <c r="I63" s="25"/>
      <c r="J63" s="26"/>
      <c r="K63" s="26"/>
      <c r="L63" s="25"/>
      <c r="M63" s="27"/>
      <c r="N63" s="25"/>
      <c r="O63" s="25"/>
      <c r="P63" s="25"/>
      <c r="Q63" s="25"/>
      <c r="R63" s="25"/>
    </row>
    <row r="64" spans="1:18" ht="15" x14ac:dyDescent="0.15">
      <c r="A64" s="24" t="s">
        <v>64</v>
      </c>
      <c r="B64" s="24" t="s">
        <v>38</v>
      </c>
      <c r="C64" s="24" t="str">
        <f t="shared" si="0"/>
        <v>TU/e Software development for Engineers</v>
      </c>
      <c r="D64" s="25"/>
      <c r="E64" s="25"/>
      <c r="F64" s="25"/>
      <c r="G64" s="25" t="s">
        <v>19</v>
      </c>
      <c r="H64" s="26"/>
      <c r="I64" s="25"/>
      <c r="J64" s="26"/>
      <c r="K64" s="25" t="s">
        <v>19</v>
      </c>
      <c r="L64" s="25"/>
      <c r="M64" s="25"/>
      <c r="N64" s="25"/>
      <c r="O64" s="25"/>
      <c r="P64" s="25"/>
      <c r="Q64" s="25"/>
      <c r="R64" s="25"/>
    </row>
    <row r="65" spans="1:18" ht="15" x14ac:dyDescent="0.15">
      <c r="A65" s="24" t="s">
        <v>116</v>
      </c>
      <c r="B65" s="24" t="s">
        <v>38</v>
      </c>
      <c r="C65" s="24" t="str">
        <f t="shared" si="0"/>
        <v>TU/e Software Engineering Project</v>
      </c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</row>
    <row r="66" spans="1:18" ht="15" x14ac:dyDescent="0.15">
      <c r="A66" s="24" t="s">
        <v>153</v>
      </c>
      <c r="B66" s="24" t="s">
        <v>38</v>
      </c>
      <c r="C66" s="24" t="str">
        <f t="shared" si="0"/>
        <v>TU/e Software Specification</v>
      </c>
      <c r="D66" s="25" t="s">
        <v>19</v>
      </c>
      <c r="E66" s="25"/>
      <c r="F66" s="25"/>
      <c r="G66" s="25"/>
      <c r="H66" s="25" t="s">
        <v>19</v>
      </c>
      <c r="I66" s="25"/>
      <c r="J66" s="25"/>
      <c r="K66" s="25"/>
      <c r="L66" s="25"/>
      <c r="M66" s="25"/>
      <c r="N66" s="25" t="s">
        <v>19</v>
      </c>
      <c r="O66" s="25"/>
      <c r="P66" s="25"/>
      <c r="Q66" s="25" t="s">
        <v>19</v>
      </c>
      <c r="R66" s="25"/>
    </row>
    <row r="67" spans="1:18" ht="15" x14ac:dyDescent="0.15">
      <c r="A67" s="24" t="s">
        <v>67</v>
      </c>
      <c r="B67" s="24" t="s">
        <v>38</v>
      </c>
      <c r="C67" s="24" t="str">
        <f t="shared" ref="C67:C130" si="1">_xlfn.CONCAT(B67, " ", A67)</f>
        <v>TU/e Empirical Methods in Software Engineering</v>
      </c>
      <c r="D67" s="25"/>
      <c r="E67" s="25"/>
      <c r="F67" s="25"/>
      <c r="G67" s="26"/>
      <c r="H67" s="25"/>
      <c r="I67" s="25"/>
      <c r="J67" s="25" t="s">
        <v>19</v>
      </c>
      <c r="K67" s="25"/>
      <c r="L67" s="25"/>
      <c r="M67" s="25"/>
      <c r="N67" s="25"/>
      <c r="O67" s="25"/>
      <c r="P67" s="25"/>
      <c r="Q67" s="25"/>
      <c r="R67" s="25"/>
    </row>
    <row r="68" spans="1:18" ht="15" x14ac:dyDescent="0.15">
      <c r="A68" s="24" t="s">
        <v>118</v>
      </c>
      <c r="B68" s="24" t="s">
        <v>38</v>
      </c>
      <c r="C68" s="24" t="str">
        <f t="shared" si="1"/>
        <v>TU/e Domain specific language design</v>
      </c>
      <c r="D68" s="26"/>
      <c r="E68" s="25"/>
      <c r="F68" s="26"/>
      <c r="G68" s="26"/>
      <c r="H68" s="25"/>
      <c r="I68" s="25"/>
      <c r="J68" s="25"/>
      <c r="K68" s="25"/>
      <c r="L68" s="25"/>
      <c r="M68" s="25"/>
      <c r="N68" s="25" t="s">
        <v>19</v>
      </c>
      <c r="O68" s="25"/>
      <c r="P68" s="25"/>
      <c r="Q68" s="25"/>
      <c r="R68" s="25" t="s">
        <v>19</v>
      </c>
    </row>
    <row r="69" spans="1:18" ht="15" x14ac:dyDescent="0.15">
      <c r="A69" s="24" t="s">
        <v>117</v>
      </c>
      <c r="B69" s="24" t="s">
        <v>38</v>
      </c>
      <c r="C69" s="24" t="str">
        <f t="shared" si="1"/>
        <v>TU/e Program Verification Techniques</v>
      </c>
      <c r="D69" s="25"/>
      <c r="E69" s="25"/>
      <c r="F69" s="26"/>
      <c r="G69" s="26"/>
      <c r="H69" s="25" t="s">
        <v>19</v>
      </c>
      <c r="I69" s="25"/>
      <c r="J69" s="25"/>
      <c r="K69" s="25"/>
      <c r="L69" s="25"/>
      <c r="M69" s="25"/>
      <c r="N69" s="25"/>
      <c r="O69" s="25"/>
      <c r="P69" s="25"/>
      <c r="Q69" s="25" t="s">
        <v>19</v>
      </c>
      <c r="R69" s="25"/>
    </row>
    <row r="70" spans="1:18" ht="15" x14ac:dyDescent="0.15">
      <c r="A70" s="24" t="s">
        <v>37</v>
      </c>
      <c r="B70" s="24" t="s">
        <v>38</v>
      </c>
      <c r="C70" s="24" t="str">
        <f t="shared" si="1"/>
        <v>TU/e Software evolution</v>
      </c>
      <c r="D70" s="25"/>
      <c r="E70" s="25"/>
      <c r="F70" s="25"/>
      <c r="G70" s="25"/>
      <c r="H70" s="26"/>
      <c r="I70" s="25"/>
      <c r="J70" s="25" t="s">
        <v>19</v>
      </c>
      <c r="K70" s="25" t="s">
        <v>19</v>
      </c>
      <c r="L70" s="25"/>
      <c r="M70" s="25" t="s">
        <v>19</v>
      </c>
      <c r="N70" s="25"/>
      <c r="O70" s="25"/>
      <c r="P70" s="25"/>
      <c r="Q70" s="25"/>
      <c r="R70" s="25"/>
    </row>
    <row r="71" spans="1:18" ht="15" x14ac:dyDescent="0.15">
      <c r="A71" s="24" t="s">
        <v>58</v>
      </c>
      <c r="B71" s="24" t="s">
        <v>38</v>
      </c>
      <c r="C71" s="24" t="str">
        <f t="shared" si="1"/>
        <v>TU/e Software project management</v>
      </c>
      <c r="D71" s="25"/>
      <c r="E71" s="25"/>
      <c r="F71" s="25"/>
      <c r="G71" s="25"/>
      <c r="H71" s="25"/>
      <c r="I71" s="25"/>
      <c r="J71" s="25"/>
      <c r="K71" s="25"/>
      <c r="L71" s="25" t="s">
        <v>19</v>
      </c>
      <c r="M71" s="25"/>
      <c r="N71" s="25"/>
      <c r="O71" s="25"/>
      <c r="P71" s="25"/>
      <c r="Q71" s="25"/>
      <c r="R71" s="25"/>
    </row>
    <row r="72" spans="1:18" ht="15" x14ac:dyDescent="0.15">
      <c r="A72" s="24" t="s">
        <v>120</v>
      </c>
      <c r="B72" s="24" t="s">
        <v>38</v>
      </c>
      <c r="C72" s="24" t="str">
        <f t="shared" si="1"/>
        <v>TU/e System design engineering</v>
      </c>
      <c r="D72" s="25" t="s">
        <v>19</v>
      </c>
      <c r="E72" s="26" t="s">
        <v>19</v>
      </c>
      <c r="F72" s="25" t="s">
        <v>19</v>
      </c>
      <c r="G72" s="25"/>
      <c r="H72" s="25"/>
      <c r="I72" s="25"/>
      <c r="J72" s="25"/>
      <c r="K72" s="25"/>
      <c r="L72" s="25"/>
      <c r="M72" s="25"/>
      <c r="N72" s="25" t="s">
        <v>19</v>
      </c>
      <c r="O72" s="25"/>
      <c r="P72" s="25"/>
      <c r="Q72" s="25"/>
      <c r="R72" s="25"/>
    </row>
    <row r="73" spans="1:18" ht="15" x14ac:dyDescent="0.15">
      <c r="A73" s="24" t="s">
        <v>121</v>
      </c>
      <c r="B73" s="24" t="s">
        <v>21</v>
      </c>
      <c r="C73" s="24" t="str">
        <f t="shared" si="1"/>
        <v>TUD Concepts of Programming Languages</v>
      </c>
      <c r="D73" s="25"/>
      <c r="E73" s="25"/>
      <c r="F73" s="25"/>
      <c r="G73" s="26"/>
      <c r="H73" s="25"/>
      <c r="I73" s="25"/>
      <c r="J73" s="25"/>
      <c r="K73" s="25"/>
      <c r="L73" s="25"/>
      <c r="M73" s="25"/>
      <c r="N73" s="25"/>
      <c r="O73" s="25"/>
      <c r="P73" s="25"/>
      <c r="Q73" s="26"/>
      <c r="R73" s="25" t="s">
        <v>19</v>
      </c>
    </row>
    <row r="74" spans="1:18" ht="15" x14ac:dyDescent="0.15">
      <c r="A74" s="24" t="s">
        <v>86</v>
      </c>
      <c r="B74" s="24" t="s">
        <v>21</v>
      </c>
      <c r="C74" s="24" t="str">
        <f t="shared" si="1"/>
        <v>TUD Functional Programming</v>
      </c>
      <c r="D74" s="25"/>
      <c r="E74" s="25"/>
      <c r="F74" s="25"/>
      <c r="G74" s="25" t="s">
        <v>19</v>
      </c>
      <c r="H74" s="25"/>
      <c r="I74" s="25"/>
      <c r="J74" s="25"/>
      <c r="K74" s="25"/>
      <c r="L74" s="25"/>
      <c r="M74" s="25"/>
      <c r="N74" s="25"/>
      <c r="O74" s="25"/>
      <c r="P74" s="25"/>
      <c r="Q74" s="25" t="s">
        <v>19</v>
      </c>
      <c r="R74" s="26"/>
    </row>
    <row r="75" spans="1:18" ht="15" x14ac:dyDescent="0.15">
      <c r="A75" s="24" t="s">
        <v>122</v>
      </c>
      <c r="B75" s="24" t="s">
        <v>21</v>
      </c>
      <c r="C75" s="24" t="str">
        <f t="shared" si="1"/>
        <v>TUD OOP Project</v>
      </c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</row>
    <row r="76" spans="1:18" ht="15" x14ac:dyDescent="0.15">
      <c r="A76" s="24" t="s">
        <v>23</v>
      </c>
      <c r="B76" s="24" t="s">
        <v>21</v>
      </c>
      <c r="C76" s="24" t="str">
        <f t="shared" si="1"/>
        <v>TUD Software Engineering Methods</v>
      </c>
      <c r="D76" s="25"/>
      <c r="E76" s="25"/>
      <c r="F76" s="25"/>
      <c r="G76" s="25"/>
      <c r="H76" s="25"/>
      <c r="I76" s="26" t="s">
        <v>19</v>
      </c>
      <c r="J76" s="26" t="s">
        <v>19</v>
      </c>
      <c r="K76" s="25"/>
      <c r="L76" s="26" t="s">
        <v>19</v>
      </c>
      <c r="M76" s="26" t="s">
        <v>19</v>
      </c>
      <c r="N76" s="25"/>
      <c r="O76" s="25"/>
      <c r="P76" s="25"/>
      <c r="Q76" s="25"/>
      <c r="R76" s="25"/>
    </row>
    <row r="77" spans="1:18" ht="15" x14ac:dyDescent="0.15">
      <c r="A77" s="24" t="s">
        <v>123</v>
      </c>
      <c r="B77" s="24" t="s">
        <v>21</v>
      </c>
      <c r="C77" s="24" t="str">
        <f t="shared" si="1"/>
        <v>TUD Software Engineering Methods (Minors)</v>
      </c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</row>
    <row r="78" spans="1:18" ht="15" x14ac:dyDescent="0.15">
      <c r="A78" s="24" t="s">
        <v>124</v>
      </c>
      <c r="B78" s="24" t="s">
        <v>21</v>
      </c>
      <c r="C78" s="24" t="str">
        <f t="shared" si="1"/>
        <v>TUD Software Project</v>
      </c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</row>
    <row r="79" spans="1:18" ht="15" x14ac:dyDescent="0.15">
      <c r="A79" s="24" t="s">
        <v>165</v>
      </c>
      <c r="B79" s="24" t="s">
        <v>21</v>
      </c>
      <c r="C79" s="24" t="str">
        <f t="shared" si="1"/>
        <v>TUD Software Quality and Testing</v>
      </c>
      <c r="D79" s="25"/>
      <c r="E79" s="25"/>
      <c r="F79" s="26"/>
      <c r="G79" s="25"/>
      <c r="H79" s="25" t="s">
        <v>19</v>
      </c>
      <c r="I79" s="25"/>
      <c r="J79" s="25"/>
      <c r="K79" s="25"/>
      <c r="L79" s="25"/>
      <c r="M79" s="25"/>
      <c r="N79" s="25"/>
      <c r="O79" s="25"/>
      <c r="P79" s="25"/>
      <c r="Q79" s="25"/>
      <c r="R79" s="25"/>
    </row>
    <row r="80" spans="1:18" ht="15" x14ac:dyDescent="0.15">
      <c r="A80" s="24" t="s">
        <v>125</v>
      </c>
      <c r="B80" s="24" t="s">
        <v>21</v>
      </c>
      <c r="C80" s="24" t="str">
        <f t="shared" si="1"/>
        <v>TUD Object-Oriented Programming</v>
      </c>
      <c r="D80" s="25"/>
      <c r="E80" s="25"/>
      <c r="F80" s="25"/>
      <c r="G80" s="25" t="s">
        <v>19</v>
      </c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</row>
    <row r="81" spans="1:18" ht="15" x14ac:dyDescent="0.15">
      <c r="A81" s="24" t="s">
        <v>59</v>
      </c>
      <c r="B81" s="24" t="s">
        <v>21</v>
      </c>
      <c r="C81" s="24" t="str">
        <f t="shared" si="1"/>
        <v>TUD Analytics and Machine Learning for Software Engineering</v>
      </c>
      <c r="D81" s="25"/>
      <c r="E81" s="25"/>
      <c r="F81" s="25"/>
      <c r="G81" s="25"/>
      <c r="H81" s="25"/>
      <c r="I81" s="25"/>
      <c r="J81" s="25"/>
      <c r="K81" s="25"/>
      <c r="L81" s="25" t="s">
        <v>19</v>
      </c>
      <c r="M81" s="25"/>
      <c r="N81" s="25"/>
      <c r="O81" s="25"/>
      <c r="P81" s="25"/>
      <c r="Q81" s="25"/>
      <c r="R81" s="25"/>
    </row>
    <row r="82" spans="1:18" ht="15" x14ac:dyDescent="0.15">
      <c r="A82" s="24" t="s">
        <v>119</v>
      </c>
      <c r="B82" s="24" t="s">
        <v>21</v>
      </c>
      <c r="C82" s="24" t="str">
        <f t="shared" si="1"/>
        <v>TUD Artificial Intelligence for Software Testing and Reverse Engineering</v>
      </c>
      <c r="D82" s="25"/>
      <c r="E82" s="25"/>
      <c r="F82" s="25"/>
      <c r="G82" s="25"/>
      <c r="H82" s="25" t="s">
        <v>19</v>
      </c>
      <c r="I82" s="25"/>
      <c r="J82" s="25"/>
      <c r="K82" s="25"/>
      <c r="L82" s="25"/>
      <c r="M82" s="25"/>
      <c r="N82" s="25"/>
      <c r="O82" s="25" t="s">
        <v>19</v>
      </c>
      <c r="P82" s="25"/>
      <c r="Q82" s="26"/>
      <c r="R82" s="25"/>
    </row>
    <row r="83" spans="1:18" ht="15" x14ac:dyDescent="0.15">
      <c r="A83" s="24" t="s">
        <v>101</v>
      </c>
      <c r="B83" s="24" t="s">
        <v>21</v>
      </c>
      <c r="C83" s="24" t="str">
        <f t="shared" si="1"/>
        <v>TUD Compiler Construction</v>
      </c>
      <c r="D83" s="25"/>
      <c r="E83" s="25"/>
      <c r="F83" s="25"/>
      <c r="G83" s="26"/>
      <c r="H83" s="25"/>
      <c r="I83" s="25"/>
      <c r="J83" s="25"/>
      <c r="K83" s="25"/>
      <c r="L83" s="25"/>
      <c r="M83" s="25"/>
      <c r="N83" s="25"/>
      <c r="O83" s="25"/>
      <c r="P83" s="25"/>
      <c r="Q83" s="26"/>
      <c r="R83" s="25" t="s">
        <v>19</v>
      </c>
    </row>
    <row r="84" spans="1:18" ht="15" x14ac:dyDescent="0.15">
      <c r="A84" s="24" t="s">
        <v>127</v>
      </c>
      <c r="B84" s="24" t="s">
        <v>21</v>
      </c>
      <c r="C84" s="24" t="str">
        <f t="shared" si="1"/>
        <v>TUD Language-based Software Security</v>
      </c>
      <c r="D84" s="25"/>
      <c r="E84" s="25"/>
      <c r="F84" s="25"/>
      <c r="G84" s="26" t="s">
        <v>19</v>
      </c>
      <c r="H84" s="25"/>
      <c r="I84" s="25"/>
      <c r="J84" s="25"/>
      <c r="K84" s="25"/>
      <c r="L84" s="25"/>
      <c r="M84" s="25"/>
      <c r="N84" s="25"/>
      <c r="O84" s="25" t="s">
        <v>19</v>
      </c>
      <c r="P84" s="25"/>
      <c r="Q84" s="26"/>
      <c r="R84" s="25" t="s">
        <v>19</v>
      </c>
    </row>
    <row r="85" spans="1:18" ht="15" x14ac:dyDescent="0.15">
      <c r="A85" s="24" t="s">
        <v>20</v>
      </c>
      <c r="B85" s="24" t="s">
        <v>21</v>
      </c>
      <c r="C85" s="24" t="str">
        <f t="shared" si="1"/>
        <v xml:space="preserve">TUD Release Engineering for Software Engineering </v>
      </c>
      <c r="D85" s="25"/>
      <c r="E85" s="25"/>
      <c r="F85" s="25"/>
      <c r="G85" s="25"/>
      <c r="H85" s="25"/>
      <c r="I85" s="25"/>
      <c r="J85" s="25" t="s">
        <v>19</v>
      </c>
      <c r="K85" s="25" t="s">
        <v>19</v>
      </c>
      <c r="L85" s="25" t="s">
        <v>19</v>
      </c>
      <c r="M85" s="25" t="s">
        <v>19</v>
      </c>
      <c r="N85" s="25"/>
      <c r="O85" s="25"/>
      <c r="P85" s="25"/>
      <c r="Q85" s="25"/>
      <c r="R85" s="25"/>
    </row>
    <row r="86" spans="1:18" ht="15" x14ac:dyDescent="0.15">
      <c r="A86" s="24" t="s">
        <v>66</v>
      </c>
      <c r="B86" s="24" t="s">
        <v>21</v>
      </c>
      <c r="C86" s="24" t="str">
        <f t="shared" si="1"/>
        <v>TUD Software Architecture</v>
      </c>
      <c r="D86" s="25"/>
      <c r="E86" s="25" t="s">
        <v>19</v>
      </c>
      <c r="F86" s="26"/>
      <c r="G86" s="25"/>
      <c r="H86" s="25"/>
      <c r="I86" s="25"/>
      <c r="J86" s="25"/>
      <c r="K86" s="25"/>
      <c r="L86" s="25"/>
      <c r="M86" s="25"/>
      <c r="N86" s="26" t="s">
        <v>19</v>
      </c>
      <c r="O86" s="25"/>
      <c r="P86" s="25"/>
      <c r="Q86" s="25"/>
      <c r="R86" s="25"/>
    </row>
    <row r="87" spans="1:18" ht="15" x14ac:dyDescent="0.15">
      <c r="A87" s="24" t="s">
        <v>69</v>
      </c>
      <c r="B87" s="24" t="s">
        <v>21</v>
      </c>
      <c r="C87" s="24" t="str">
        <f t="shared" si="1"/>
        <v>TUD Sustainable Software Engineering</v>
      </c>
      <c r="D87" s="25"/>
      <c r="E87" s="25"/>
      <c r="F87" s="25"/>
      <c r="G87" s="25"/>
      <c r="H87" s="25"/>
      <c r="I87" s="25"/>
      <c r="J87" s="26" t="s">
        <v>19</v>
      </c>
      <c r="K87" s="25"/>
      <c r="L87" s="25"/>
      <c r="M87" s="25"/>
      <c r="N87" s="25"/>
      <c r="O87" s="25"/>
      <c r="P87" s="25" t="s">
        <v>19</v>
      </c>
      <c r="Q87" s="25"/>
      <c r="R87" s="25"/>
    </row>
    <row r="88" spans="1:18" ht="15" x14ac:dyDescent="0.15">
      <c r="A88" s="24" t="s">
        <v>68</v>
      </c>
      <c r="B88" s="24" t="s">
        <v>21</v>
      </c>
      <c r="C88" s="24" t="str">
        <f t="shared" si="1"/>
        <v>TUD Testing and Validation for AI-intensive systems</v>
      </c>
      <c r="D88" s="25"/>
      <c r="E88" s="25"/>
      <c r="F88" s="26"/>
      <c r="G88" s="25"/>
      <c r="H88" s="25" t="s">
        <v>19</v>
      </c>
      <c r="I88" s="25"/>
      <c r="J88" s="25" t="s">
        <v>19</v>
      </c>
      <c r="K88" s="25"/>
      <c r="L88" s="25"/>
      <c r="M88" s="25"/>
      <c r="N88" s="25"/>
      <c r="O88" s="25" t="s">
        <v>19</v>
      </c>
      <c r="P88" s="25"/>
      <c r="Q88" s="25"/>
      <c r="R88" s="25"/>
    </row>
    <row r="89" spans="1:18" ht="15" x14ac:dyDescent="0.15">
      <c r="A89" s="24" t="s">
        <v>91</v>
      </c>
      <c r="B89" s="24" t="s">
        <v>21</v>
      </c>
      <c r="C89" s="24" t="str">
        <f t="shared" si="1"/>
        <v>TUD Software Verification</v>
      </c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 t="s">
        <v>19</v>
      </c>
      <c r="R89" s="26"/>
    </row>
    <row r="90" spans="1:18" ht="15" x14ac:dyDescent="0.15">
      <c r="A90" s="24" t="s">
        <v>129</v>
      </c>
      <c r="B90" s="24" t="s">
        <v>25</v>
      </c>
      <c r="C90" s="24" t="str">
        <f t="shared" si="1"/>
        <v>UL Basic Programming in Python</v>
      </c>
      <c r="D90" s="25"/>
      <c r="E90" s="25"/>
      <c r="F90" s="25"/>
      <c r="G90" s="25" t="s">
        <v>19</v>
      </c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</row>
    <row r="91" spans="1:18" ht="15" x14ac:dyDescent="0.15">
      <c r="A91" s="24" t="s">
        <v>121</v>
      </c>
      <c r="B91" s="24" t="s">
        <v>25</v>
      </c>
      <c r="C91" s="24" t="str">
        <f t="shared" si="1"/>
        <v>UL Concepts of Programming Languages</v>
      </c>
      <c r="D91" s="25"/>
      <c r="E91" s="25"/>
      <c r="F91" s="25"/>
      <c r="G91" s="26"/>
      <c r="H91" s="25"/>
      <c r="I91" s="25"/>
      <c r="J91" s="25"/>
      <c r="K91" s="25"/>
      <c r="L91" s="25"/>
      <c r="M91" s="25"/>
      <c r="N91" s="25"/>
      <c r="O91" s="25"/>
      <c r="P91" s="25"/>
      <c r="Q91" s="25" t="s">
        <v>19</v>
      </c>
      <c r="R91" s="25" t="s">
        <v>19</v>
      </c>
    </row>
    <row r="92" spans="1:18" ht="15" x14ac:dyDescent="0.15">
      <c r="A92" s="24" t="s">
        <v>130</v>
      </c>
      <c r="B92" s="24" t="s">
        <v>25</v>
      </c>
      <c r="C92" s="24" t="str">
        <f t="shared" si="1"/>
        <v>UL Introduction to Programming (BSc)</v>
      </c>
      <c r="D92" s="25"/>
      <c r="E92" s="25"/>
      <c r="F92" s="25"/>
      <c r="G92" s="25" t="s">
        <v>19</v>
      </c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</row>
    <row r="93" spans="1:18" ht="15" x14ac:dyDescent="0.15">
      <c r="A93" s="24" t="s">
        <v>106</v>
      </c>
      <c r="B93" s="24" t="s">
        <v>25</v>
      </c>
      <c r="C93" s="24" t="str">
        <f t="shared" si="1"/>
        <v>UL Program Correctness</v>
      </c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 t="s">
        <v>19</v>
      </c>
      <c r="R93" s="25"/>
    </row>
    <row r="94" spans="1:18" ht="15" x14ac:dyDescent="0.2">
      <c r="A94" s="20" t="s">
        <v>131</v>
      </c>
      <c r="B94" s="20" t="s">
        <v>25</v>
      </c>
      <c r="C94" s="24" t="str">
        <f t="shared" si="1"/>
        <v>UL Programmeermethoden</v>
      </c>
      <c r="D94" s="25"/>
      <c r="E94" s="25"/>
      <c r="F94" s="25"/>
      <c r="G94" s="25" t="s">
        <v>19</v>
      </c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</row>
    <row r="95" spans="1:18" ht="15" x14ac:dyDescent="0.2">
      <c r="A95" s="20" t="s">
        <v>132</v>
      </c>
      <c r="B95" s="20" t="s">
        <v>25</v>
      </c>
      <c r="C95" s="24" t="str">
        <f t="shared" si="1"/>
        <v>UL Programming Techniques</v>
      </c>
      <c r="D95" s="25"/>
      <c r="E95" s="25"/>
      <c r="F95" s="25"/>
      <c r="G95" s="25" t="s">
        <v>19</v>
      </c>
      <c r="H95" s="25"/>
      <c r="I95" s="25"/>
      <c r="J95" s="25"/>
      <c r="K95" s="26"/>
      <c r="L95" s="25"/>
      <c r="M95" s="25"/>
      <c r="N95" s="25"/>
      <c r="O95" s="25"/>
      <c r="P95" s="25"/>
      <c r="Q95" s="25"/>
      <c r="R95" s="25"/>
    </row>
    <row r="96" spans="1:18" ht="15" x14ac:dyDescent="0.15">
      <c r="A96" s="24" t="s">
        <v>32</v>
      </c>
      <c r="B96" s="24" t="s">
        <v>25</v>
      </c>
      <c r="C96" s="24" t="str">
        <f t="shared" si="1"/>
        <v>UL Projectmanagement</v>
      </c>
      <c r="D96" s="25"/>
      <c r="E96" s="25"/>
      <c r="F96" s="25"/>
      <c r="G96" s="25"/>
      <c r="H96" s="25"/>
      <c r="I96" s="26" t="s">
        <v>19</v>
      </c>
      <c r="J96" s="25"/>
      <c r="K96" s="25"/>
      <c r="L96" s="25" t="s">
        <v>19</v>
      </c>
      <c r="M96" s="25" t="s">
        <v>19</v>
      </c>
      <c r="N96" s="26"/>
      <c r="O96" s="25"/>
      <c r="P96" s="25"/>
      <c r="Q96" s="25"/>
      <c r="R96" s="25"/>
    </row>
    <row r="97" spans="1:18" ht="15" x14ac:dyDescent="0.15">
      <c r="A97" s="24" t="s">
        <v>35</v>
      </c>
      <c r="B97" s="24" t="s">
        <v>25</v>
      </c>
      <c r="C97" s="24" t="str">
        <f t="shared" si="1"/>
        <v>UL Requirements Engineering</v>
      </c>
      <c r="D97" s="25" t="s">
        <v>19</v>
      </c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</row>
    <row r="98" spans="1:18" ht="15" x14ac:dyDescent="0.15">
      <c r="A98" s="24" t="s">
        <v>133</v>
      </c>
      <c r="B98" s="24" t="s">
        <v>25</v>
      </c>
      <c r="C98" s="24" t="str">
        <f t="shared" si="1"/>
        <v>UL Security</v>
      </c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 t="s">
        <v>19</v>
      </c>
      <c r="P98" s="25"/>
      <c r="Q98" s="25"/>
      <c r="R98" s="25"/>
    </row>
    <row r="99" spans="1:18" ht="15" x14ac:dyDescent="0.15">
      <c r="A99" s="24" t="s">
        <v>60</v>
      </c>
      <c r="B99" s="24" t="s">
        <v>25</v>
      </c>
      <c r="C99" s="24" t="str">
        <f t="shared" si="1"/>
        <v>UL Seminar Business Information Systems</v>
      </c>
      <c r="D99" s="25"/>
      <c r="E99" s="25" t="s">
        <v>19</v>
      </c>
      <c r="F99" s="25"/>
      <c r="G99" s="25"/>
      <c r="H99" s="25"/>
      <c r="I99" s="25" t="s">
        <v>19</v>
      </c>
      <c r="J99" s="25"/>
      <c r="K99" s="25"/>
      <c r="L99" s="25" t="s">
        <v>19</v>
      </c>
      <c r="M99" s="25"/>
      <c r="N99" s="25"/>
      <c r="O99" s="25"/>
      <c r="P99" s="25"/>
      <c r="Q99" s="25"/>
      <c r="R99" s="25"/>
    </row>
    <row r="100" spans="1:18" ht="15" x14ac:dyDescent="0.15">
      <c r="A100" s="24" t="s">
        <v>47</v>
      </c>
      <c r="B100" s="24" t="s">
        <v>25</v>
      </c>
      <c r="C100" s="24" t="str">
        <f t="shared" si="1"/>
        <v>UL Software Development</v>
      </c>
      <c r="D100" s="25"/>
      <c r="E100" s="25"/>
      <c r="F100" s="25"/>
      <c r="G100" s="25" t="s">
        <v>19</v>
      </c>
      <c r="H100" s="25"/>
      <c r="I100" s="25"/>
      <c r="J100" s="25"/>
      <c r="K100" s="25"/>
      <c r="L100" s="25"/>
      <c r="M100" s="25" t="s">
        <v>19</v>
      </c>
      <c r="N100" s="25"/>
      <c r="O100" s="25"/>
      <c r="P100" s="25"/>
      <c r="Q100" s="25"/>
      <c r="R100" s="25"/>
    </row>
    <row r="101" spans="1:18" ht="15" x14ac:dyDescent="0.15">
      <c r="A101" s="24" t="s">
        <v>90</v>
      </c>
      <c r="B101" s="24" t="s">
        <v>25</v>
      </c>
      <c r="C101" s="24" t="str">
        <f t="shared" si="1"/>
        <v>UL Software Engineering</v>
      </c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</row>
    <row r="102" spans="1:18" ht="15" x14ac:dyDescent="0.15">
      <c r="A102" s="24" t="s">
        <v>134</v>
      </c>
      <c r="B102" s="24" t="s">
        <v>25</v>
      </c>
      <c r="C102" s="24" t="str">
        <f t="shared" si="1"/>
        <v>UL Computational Models and Semantics</v>
      </c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6"/>
      <c r="O102" s="25"/>
      <c r="P102" s="25"/>
      <c r="Q102" s="25"/>
      <c r="R102" s="25" t="s">
        <v>19</v>
      </c>
    </row>
    <row r="103" spans="1:18" ht="15" x14ac:dyDescent="0.15">
      <c r="A103" s="24" t="s">
        <v>135</v>
      </c>
      <c r="B103" s="24" t="s">
        <v>25</v>
      </c>
      <c r="C103" s="24" t="str">
        <f t="shared" si="1"/>
        <v>UL Creative Programming</v>
      </c>
      <c r="D103" s="25"/>
      <c r="E103" s="25"/>
      <c r="F103" s="25"/>
      <c r="G103" s="25" t="s">
        <v>19</v>
      </c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</row>
    <row r="104" spans="1:18" ht="15" x14ac:dyDescent="0.15">
      <c r="A104" s="24" t="s">
        <v>128</v>
      </c>
      <c r="B104" s="24" t="s">
        <v>25</v>
      </c>
      <c r="C104" s="24" t="str">
        <f t="shared" si="1"/>
        <v>UL Cryptographic Engineering</v>
      </c>
      <c r="D104" s="25"/>
      <c r="E104" s="25"/>
      <c r="F104" s="25"/>
      <c r="G104" s="25" t="s">
        <v>19</v>
      </c>
      <c r="H104" s="25"/>
      <c r="I104" s="25"/>
      <c r="J104" s="25"/>
      <c r="K104" s="25"/>
      <c r="L104" s="25"/>
      <c r="M104" s="25"/>
      <c r="N104" s="25"/>
      <c r="O104" s="25" t="s">
        <v>19</v>
      </c>
      <c r="P104" s="25"/>
      <c r="Q104" s="25"/>
      <c r="R104" s="25"/>
    </row>
    <row r="105" spans="1:18" ht="15" x14ac:dyDescent="0.15">
      <c r="A105" s="24" t="s">
        <v>210</v>
      </c>
      <c r="B105" s="24" t="s">
        <v>25</v>
      </c>
      <c r="C105" s="24" t="str">
        <f t="shared" si="1"/>
        <v>UL Foundations of Software Testing</v>
      </c>
      <c r="D105" s="25"/>
      <c r="E105" s="25"/>
      <c r="F105" s="25"/>
      <c r="G105" s="25"/>
      <c r="H105" s="25" t="s">
        <v>19</v>
      </c>
      <c r="I105" s="25"/>
      <c r="J105" s="25"/>
      <c r="K105" s="25"/>
      <c r="L105" s="25"/>
      <c r="M105" s="25"/>
      <c r="N105" s="25"/>
      <c r="O105" s="25"/>
      <c r="P105" s="25"/>
      <c r="Q105" s="26"/>
      <c r="R105" s="25"/>
    </row>
    <row r="106" spans="1:18" ht="15" x14ac:dyDescent="0.15">
      <c r="A106" s="24" t="s">
        <v>137</v>
      </c>
      <c r="B106" s="24" t="s">
        <v>25</v>
      </c>
      <c r="C106" s="24" t="str">
        <f t="shared" si="1"/>
        <v>UL ICT Architectures</v>
      </c>
      <c r="D106" s="25"/>
      <c r="E106" s="25" t="s">
        <v>19</v>
      </c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</row>
    <row r="107" spans="1:18" ht="15" x14ac:dyDescent="0.15">
      <c r="A107" s="24" t="s">
        <v>53</v>
      </c>
      <c r="B107" s="24" t="s">
        <v>25</v>
      </c>
      <c r="C107" s="24" t="str">
        <f t="shared" si="1"/>
        <v>UL Managing Software Evolution</v>
      </c>
      <c r="D107" s="25"/>
      <c r="E107" s="25"/>
      <c r="F107" s="25"/>
      <c r="G107" s="25"/>
      <c r="H107" s="25"/>
      <c r="I107" s="26" t="s">
        <v>19</v>
      </c>
      <c r="J107" s="25" t="s">
        <v>19</v>
      </c>
      <c r="K107" s="25"/>
      <c r="L107" s="25" t="s">
        <v>19</v>
      </c>
      <c r="M107" s="25"/>
      <c r="N107" s="25"/>
      <c r="O107" s="25"/>
      <c r="P107" s="25"/>
      <c r="Q107" s="25"/>
      <c r="R107" s="25"/>
    </row>
    <row r="108" spans="1:18" ht="15" x14ac:dyDescent="0.15">
      <c r="A108" s="24" t="s">
        <v>24</v>
      </c>
      <c r="B108" s="24" t="s">
        <v>25</v>
      </c>
      <c r="C108" s="24" t="str">
        <f t="shared" si="1"/>
        <v>UL Software Development and Product Management</v>
      </c>
      <c r="D108" s="25"/>
      <c r="E108" s="25"/>
      <c r="F108" s="25"/>
      <c r="G108" s="25"/>
      <c r="H108" s="25"/>
      <c r="I108" s="26" t="s">
        <v>19</v>
      </c>
      <c r="J108" s="25" t="s">
        <v>19</v>
      </c>
      <c r="K108" s="25"/>
      <c r="L108" s="25" t="s">
        <v>19</v>
      </c>
      <c r="M108" s="25" t="s">
        <v>19</v>
      </c>
      <c r="N108" s="26"/>
      <c r="O108" s="25"/>
      <c r="P108" s="26" t="s">
        <v>19</v>
      </c>
      <c r="Q108" s="25"/>
      <c r="R108" s="25"/>
    </row>
    <row r="109" spans="1:18" ht="15" x14ac:dyDescent="0.15">
      <c r="A109" s="24" t="s">
        <v>91</v>
      </c>
      <c r="B109" s="24" t="s">
        <v>25</v>
      </c>
      <c r="C109" s="24" t="str">
        <f t="shared" si="1"/>
        <v>UL Software Verification</v>
      </c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 t="s">
        <v>19</v>
      </c>
      <c r="R109" s="25"/>
    </row>
    <row r="110" spans="1:18" ht="15" x14ac:dyDescent="0.15">
      <c r="A110" s="24" t="s">
        <v>52</v>
      </c>
      <c r="B110" s="24" t="s">
        <v>25</v>
      </c>
      <c r="C110" s="24" t="str">
        <f t="shared" si="1"/>
        <v>UL System and Software Security</v>
      </c>
      <c r="D110" s="25"/>
      <c r="E110" s="25"/>
      <c r="F110" s="25"/>
      <c r="G110" s="25"/>
      <c r="H110" s="25" t="s">
        <v>19</v>
      </c>
      <c r="I110" s="25"/>
      <c r="J110" s="25"/>
      <c r="K110" s="25"/>
      <c r="L110" s="25"/>
      <c r="M110" s="25" t="s">
        <v>19</v>
      </c>
      <c r="N110" s="25"/>
      <c r="O110" s="25" t="s">
        <v>19</v>
      </c>
      <c r="P110" s="25"/>
      <c r="Q110" s="25" t="s">
        <v>19</v>
      </c>
      <c r="R110" s="25"/>
    </row>
    <row r="111" spans="1:18" ht="15" x14ac:dyDescent="0.15">
      <c r="A111" s="24" t="s">
        <v>139</v>
      </c>
      <c r="B111" s="24" t="s">
        <v>25</v>
      </c>
      <c r="C111" s="24" t="str">
        <f t="shared" si="1"/>
        <v>UL Systems Development</v>
      </c>
      <c r="D111" s="25" t="s">
        <v>19</v>
      </c>
      <c r="E111" s="26" t="s">
        <v>19</v>
      </c>
      <c r="F111" s="25" t="s">
        <v>19</v>
      </c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</row>
    <row r="112" spans="1:18" ht="15" x14ac:dyDescent="0.15">
      <c r="A112" s="24" t="s">
        <v>140</v>
      </c>
      <c r="B112" s="24" t="s">
        <v>34</v>
      </c>
      <c r="C112" s="24" t="str">
        <f t="shared" si="1"/>
        <v>UT M1 Pearls of Computer Science</v>
      </c>
      <c r="D112" s="25" t="s">
        <v>19</v>
      </c>
      <c r="E112" s="25"/>
      <c r="F112" s="25"/>
      <c r="G112" s="25" t="s">
        <v>19</v>
      </c>
      <c r="H112" s="25"/>
      <c r="I112" s="25"/>
      <c r="J112" s="25"/>
      <c r="K112" s="25"/>
      <c r="L112" s="25"/>
      <c r="M112" s="25"/>
      <c r="N112" s="25"/>
      <c r="O112" s="26"/>
      <c r="P112" s="25"/>
      <c r="Q112" s="25"/>
      <c r="R112" s="25"/>
    </row>
    <row r="113" spans="1:18" ht="15" x14ac:dyDescent="0.15">
      <c r="A113" s="24" t="s">
        <v>141</v>
      </c>
      <c r="B113" s="24" t="s">
        <v>34</v>
      </c>
      <c r="C113" s="24" t="str">
        <f t="shared" si="1"/>
        <v>UT M11 Design Project</v>
      </c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</row>
    <row r="114" spans="1:18" ht="15" x14ac:dyDescent="0.15">
      <c r="A114" s="24" t="s">
        <v>167</v>
      </c>
      <c r="B114" s="24" t="s">
        <v>34</v>
      </c>
      <c r="C114" s="24" t="str">
        <f t="shared" si="1"/>
        <v>UT M2 Software Systems</v>
      </c>
      <c r="D114" s="26"/>
      <c r="E114" s="25"/>
      <c r="F114" s="25" t="s">
        <v>19</v>
      </c>
      <c r="G114" s="25" t="s">
        <v>19</v>
      </c>
      <c r="H114" s="25" t="s">
        <v>19</v>
      </c>
      <c r="I114" s="25"/>
      <c r="J114" s="25"/>
      <c r="K114" s="25"/>
      <c r="L114" s="25"/>
      <c r="M114" s="25"/>
      <c r="N114" s="25" t="s">
        <v>19</v>
      </c>
      <c r="O114" s="26"/>
      <c r="P114" s="25"/>
      <c r="Q114" s="25"/>
      <c r="R114" s="25"/>
    </row>
    <row r="115" spans="1:18" ht="15" x14ac:dyDescent="0.15">
      <c r="A115" s="24" t="s">
        <v>142</v>
      </c>
      <c r="B115" s="24" t="s">
        <v>34</v>
      </c>
      <c r="C115" s="24" t="str">
        <f t="shared" si="1"/>
        <v>UT M4 Data &amp; Information</v>
      </c>
      <c r="D115" s="25" t="s">
        <v>19</v>
      </c>
      <c r="E115" s="25"/>
      <c r="F115" s="25"/>
      <c r="G115" s="25" t="s">
        <v>19</v>
      </c>
      <c r="H115" s="25"/>
      <c r="I115" s="25"/>
      <c r="J115" s="25"/>
      <c r="K115" s="25"/>
      <c r="L115" s="25"/>
      <c r="M115" s="25"/>
      <c r="N115" s="25"/>
      <c r="O115" s="26"/>
      <c r="P115" s="25"/>
      <c r="Q115" s="25"/>
      <c r="R115" s="25"/>
    </row>
    <row r="116" spans="1:18" ht="15" x14ac:dyDescent="0.15">
      <c r="A116" s="24" t="s">
        <v>143</v>
      </c>
      <c r="B116" s="24" t="s">
        <v>34</v>
      </c>
      <c r="C116" s="24" t="str">
        <f t="shared" si="1"/>
        <v>UT M8 Programming Paradigms</v>
      </c>
      <c r="D116" s="25"/>
      <c r="E116" s="25"/>
      <c r="F116" s="25"/>
      <c r="G116" s="25" t="s">
        <v>19</v>
      </c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 t="s">
        <v>19</v>
      </c>
    </row>
    <row r="117" spans="1:18" ht="15" x14ac:dyDescent="0.15">
      <c r="A117" s="24" t="s">
        <v>54</v>
      </c>
      <c r="B117" s="24" t="s">
        <v>34</v>
      </c>
      <c r="C117" s="24" t="str">
        <f t="shared" si="1"/>
        <v>UT Architectures of IS</v>
      </c>
      <c r="D117" s="25"/>
      <c r="E117" s="25" t="s">
        <v>19</v>
      </c>
      <c r="F117" s="25"/>
      <c r="G117" s="25"/>
      <c r="H117" s="25"/>
      <c r="I117" s="25"/>
      <c r="J117" s="26" t="s">
        <v>19</v>
      </c>
      <c r="K117" s="25"/>
      <c r="L117" s="26" t="s">
        <v>19</v>
      </c>
      <c r="M117" s="25"/>
      <c r="N117" s="25"/>
      <c r="O117" s="25"/>
      <c r="P117" s="25"/>
      <c r="Q117" s="25"/>
      <c r="R117" s="25"/>
    </row>
    <row r="118" spans="1:18" ht="15" x14ac:dyDescent="0.15">
      <c r="A118" s="24" t="s">
        <v>144</v>
      </c>
      <c r="B118" s="24" t="s">
        <v>34</v>
      </c>
      <c r="C118" s="24" t="str">
        <f t="shared" si="1"/>
        <v>UT Design of Software Architectures</v>
      </c>
      <c r="D118" s="26"/>
      <c r="E118" s="25" t="s">
        <v>19</v>
      </c>
      <c r="F118" s="25" t="s">
        <v>19</v>
      </c>
      <c r="G118" s="25"/>
      <c r="H118" s="25"/>
      <c r="I118" s="25"/>
      <c r="J118" s="25"/>
      <c r="K118" s="25"/>
      <c r="L118" s="25"/>
      <c r="M118" s="26"/>
      <c r="N118" s="25"/>
      <c r="O118" s="25"/>
      <c r="P118" s="25"/>
      <c r="Q118" s="25"/>
      <c r="R118" s="25"/>
    </row>
    <row r="119" spans="1:18" ht="15" x14ac:dyDescent="0.15">
      <c r="A119" s="24" t="s">
        <v>145</v>
      </c>
      <c r="B119" s="24" t="s">
        <v>34</v>
      </c>
      <c r="C119" s="24" t="str">
        <f t="shared" si="1"/>
        <v>UT Industrial Software Engineering project</v>
      </c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</row>
    <row r="120" spans="1:18" ht="15" x14ac:dyDescent="0.15">
      <c r="A120" s="24" t="s">
        <v>146</v>
      </c>
      <c r="B120" s="24" t="s">
        <v>34</v>
      </c>
      <c r="C120" s="24" t="str">
        <f t="shared" si="1"/>
        <v>UT Interactive Theorem Proving</v>
      </c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 t="s">
        <v>19</v>
      </c>
      <c r="R120" s="25"/>
    </row>
    <row r="121" spans="1:18" ht="15" x14ac:dyDescent="0.15">
      <c r="A121" s="24" t="s">
        <v>147</v>
      </c>
      <c r="B121" s="24" t="s">
        <v>34</v>
      </c>
      <c r="C121" s="24" t="str">
        <f t="shared" si="1"/>
        <v>UT Model driven engineering</v>
      </c>
      <c r="D121" s="25"/>
      <c r="E121" s="25"/>
      <c r="F121" s="25" t="s">
        <v>19</v>
      </c>
      <c r="G121" s="25"/>
      <c r="H121" s="25"/>
      <c r="I121" s="25"/>
      <c r="J121" s="25"/>
      <c r="K121" s="25"/>
      <c r="L121" s="25"/>
      <c r="M121" s="25"/>
      <c r="N121" s="25" t="s">
        <v>19</v>
      </c>
      <c r="O121" s="25"/>
      <c r="P121" s="25"/>
      <c r="Q121" s="25"/>
      <c r="R121" s="25"/>
    </row>
    <row r="122" spans="1:18" ht="15" x14ac:dyDescent="0.15">
      <c r="A122" s="24" t="s">
        <v>148</v>
      </c>
      <c r="B122" s="24" t="s">
        <v>34</v>
      </c>
      <c r="C122" s="24" t="str">
        <f t="shared" si="1"/>
        <v>UT Modelling and Analysis of Concurrent Systems</v>
      </c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 t="s">
        <v>19</v>
      </c>
      <c r="R122" s="25"/>
    </row>
    <row r="123" spans="1:18" ht="15" x14ac:dyDescent="0.15">
      <c r="A123" s="24" t="s">
        <v>149</v>
      </c>
      <c r="B123" s="24" t="s">
        <v>34</v>
      </c>
      <c r="C123" s="24" t="str">
        <f t="shared" si="1"/>
        <v>UT Program Verification / Software Science 15</v>
      </c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 t="s">
        <v>19</v>
      </c>
      <c r="R123" s="25"/>
    </row>
    <row r="124" spans="1:18" ht="15" x14ac:dyDescent="0.15">
      <c r="A124" s="24" t="s">
        <v>150</v>
      </c>
      <c r="B124" s="24" t="s">
        <v>34</v>
      </c>
      <c r="C124" s="24" t="str">
        <f t="shared" si="1"/>
        <v>UT Security Verification</v>
      </c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 t="s">
        <v>19</v>
      </c>
      <c r="P124" s="25"/>
      <c r="Q124" s="25" t="s">
        <v>19</v>
      </c>
      <c r="R124" s="25"/>
    </row>
    <row r="125" spans="1:18" ht="15" x14ac:dyDescent="0.15">
      <c r="A125" s="24" t="s">
        <v>151</v>
      </c>
      <c r="B125" s="24" t="s">
        <v>34</v>
      </c>
      <c r="C125" s="24" t="str">
        <f t="shared" si="1"/>
        <v>UT Service-oriented Architecture with Web services</v>
      </c>
      <c r="D125" s="25"/>
      <c r="E125" s="25" t="s">
        <v>19</v>
      </c>
      <c r="F125" s="26"/>
      <c r="G125" s="25"/>
      <c r="H125" s="25"/>
      <c r="I125" s="25" t="s">
        <v>19</v>
      </c>
      <c r="J125" s="25"/>
      <c r="K125" s="25"/>
      <c r="L125" s="25"/>
      <c r="M125" s="25"/>
      <c r="N125" s="26" t="s">
        <v>19</v>
      </c>
      <c r="O125" s="25"/>
      <c r="P125" s="25"/>
      <c r="Q125" s="25"/>
      <c r="R125" s="25"/>
    </row>
    <row r="126" spans="1:18" ht="15" x14ac:dyDescent="0.15">
      <c r="A126" s="24" t="s">
        <v>152</v>
      </c>
      <c r="B126" s="24" t="s">
        <v>34</v>
      </c>
      <c r="C126" s="24" t="str">
        <f t="shared" si="1"/>
        <v>UT Software Engineering Techniques</v>
      </c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</row>
    <row r="127" spans="1:18" ht="15" x14ac:dyDescent="0.15">
      <c r="A127" s="24" t="s">
        <v>70</v>
      </c>
      <c r="B127" s="24" t="s">
        <v>34</v>
      </c>
      <c r="C127" s="24" t="str">
        <f t="shared" si="1"/>
        <v>UT Software Evolution</v>
      </c>
      <c r="D127" s="25"/>
      <c r="E127" s="25"/>
      <c r="F127" s="25"/>
      <c r="G127" s="26"/>
      <c r="H127" s="25"/>
      <c r="I127" s="25"/>
      <c r="J127" s="25" t="s">
        <v>19</v>
      </c>
      <c r="K127" s="25"/>
      <c r="L127" s="25"/>
      <c r="M127" s="25"/>
      <c r="N127" s="26"/>
      <c r="O127" s="25"/>
      <c r="P127" s="25"/>
      <c r="Q127" s="26"/>
      <c r="R127" s="26"/>
    </row>
    <row r="128" spans="1:18" ht="15" x14ac:dyDescent="0.15">
      <c r="A128" s="24" t="s">
        <v>33</v>
      </c>
      <c r="B128" s="24" t="s">
        <v>34</v>
      </c>
      <c r="C128" s="24" t="str">
        <f t="shared" si="1"/>
        <v>UT Software Management</v>
      </c>
      <c r="D128" s="25"/>
      <c r="E128" s="25"/>
      <c r="F128" s="25"/>
      <c r="G128" s="25"/>
      <c r="H128" s="25"/>
      <c r="I128" s="25"/>
      <c r="J128" s="25"/>
      <c r="K128" s="25"/>
      <c r="L128" s="25" t="s">
        <v>19</v>
      </c>
      <c r="M128" s="25" t="s">
        <v>19</v>
      </c>
      <c r="N128" s="25"/>
      <c r="O128" s="25"/>
      <c r="P128" s="25" t="s">
        <v>19</v>
      </c>
      <c r="Q128" s="25"/>
      <c r="R128" s="25"/>
    </row>
    <row r="129" spans="1:18" ht="15" x14ac:dyDescent="0.15">
      <c r="A129" s="24" t="s">
        <v>98</v>
      </c>
      <c r="B129" s="24" t="s">
        <v>34</v>
      </c>
      <c r="C129" s="24" t="str">
        <f t="shared" si="1"/>
        <v>UT Software Security</v>
      </c>
      <c r="D129" s="25"/>
      <c r="E129" s="25"/>
      <c r="F129" s="25"/>
      <c r="G129" s="25" t="s">
        <v>19</v>
      </c>
      <c r="H129" s="25"/>
      <c r="I129" s="25"/>
      <c r="J129" s="25"/>
      <c r="K129" s="25"/>
      <c r="L129" s="25"/>
      <c r="M129" s="25"/>
      <c r="N129" s="25"/>
      <c r="O129" s="25" t="s">
        <v>19</v>
      </c>
      <c r="P129" s="25"/>
      <c r="Q129" s="25"/>
      <c r="R129" s="25"/>
    </row>
    <row r="130" spans="1:18" ht="15" x14ac:dyDescent="0.15">
      <c r="A130" s="24" t="s">
        <v>126</v>
      </c>
      <c r="B130" s="24" t="s">
        <v>34</v>
      </c>
      <c r="C130" s="24" t="str">
        <f t="shared" si="1"/>
        <v>UT Software Testing and Risk Assessment</v>
      </c>
      <c r="D130" s="25"/>
      <c r="E130" s="25"/>
      <c r="F130" s="25"/>
      <c r="G130" s="25"/>
      <c r="H130" s="25" t="s">
        <v>19</v>
      </c>
      <c r="I130" s="25"/>
      <c r="J130" s="25"/>
      <c r="K130" s="25"/>
      <c r="L130" s="25"/>
      <c r="M130" s="25"/>
      <c r="N130" s="25" t="s">
        <v>19</v>
      </c>
      <c r="O130" s="25"/>
      <c r="P130" s="25"/>
      <c r="Q130" s="26"/>
      <c r="R130" s="25"/>
    </row>
    <row r="131" spans="1:18" ht="15" x14ac:dyDescent="0.15">
      <c r="A131" s="24" t="s">
        <v>154</v>
      </c>
      <c r="B131" s="24" t="s">
        <v>34</v>
      </c>
      <c r="C131" s="24" t="str">
        <f t="shared" ref="C131:C194" si="2">_xlfn.CONCAT(B131, " ", A131)</f>
        <v>UT System Validation</v>
      </c>
      <c r="D131" s="25"/>
      <c r="E131" s="25"/>
      <c r="F131" s="25"/>
      <c r="G131" s="25"/>
      <c r="H131" s="26"/>
      <c r="I131" s="25"/>
      <c r="J131" s="25"/>
      <c r="K131" s="25"/>
      <c r="L131" s="25"/>
      <c r="M131" s="25"/>
      <c r="N131" s="25"/>
      <c r="O131" s="25"/>
      <c r="P131" s="25"/>
      <c r="Q131" s="25" t="s">
        <v>19</v>
      </c>
      <c r="R131" s="25"/>
    </row>
    <row r="132" spans="1:18" ht="15" x14ac:dyDescent="0.2">
      <c r="A132" s="20" t="s">
        <v>155</v>
      </c>
      <c r="B132" s="20" t="s">
        <v>49</v>
      </c>
      <c r="C132" s="24" t="str">
        <f t="shared" si="2"/>
        <v>UU Computational thinking</v>
      </c>
      <c r="D132" s="25"/>
      <c r="E132" s="25"/>
      <c r="F132" s="25"/>
      <c r="G132" s="25" t="s">
        <v>19</v>
      </c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</row>
    <row r="133" spans="1:18" ht="15" x14ac:dyDescent="0.2">
      <c r="A133" s="20" t="s">
        <v>156</v>
      </c>
      <c r="B133" s="20" t="s">
        <v>49</v>
      </c>
      <c r="C133" s="24" t="str">
        <f t="shared" si="2"/>
        <v>UU Computationeel denken</v>
      </c>
      <c r="D133" s="25"/>
      <c r="E133" s="25"/>
      <c r="F133" s="25"/>
      <c r="G133" s="25" t="s">
        <v>19</v>
      </c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</row>
    <row r="134" spans="1:18" ht="15" x14ac:dyDescent="0.15">
      <c r="A134" s="24" t="s">
        <v>157</v>
      </c>
      <c r="B134" s="24" t="s">
        <v>49</v>
      </c>
      <c r="C134" s="24" t="str">
        <f t="shared" si="2"/>
        <v>UU Functioneel programmeren</v>
      </c>
      <c r="D134" s="25"/>
      <c r="E134" s="25"/>
      <c r="F134" s="25"/>
      <c r="G134" s="25" t="s">
        <v>19</v>
      </c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</row>
    <row r="135" spans="1:18" ht="15" x14ac:dyDescent="0.15">
      <c r="A135" s="24" t="s">
        <v>158</v>
      </c>
      <c r="B135" s="24" t="s">
        <v>49</v>
      </c>
      <c r="C135" s="24" t="str">
        <f t="shared" si="2"/>
        <v>UU Gameprogrammeren</v>
      </c>
      <c r="D135" s="25"/>
      <c r="E135" s="25"/>
      <c r="F135" s="25"/>
      <c r="G135" s="25" t="s">
        <v>19</v>
      </c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</row>
    <row r="136" spans="1:18" ht="15" x14ac:dyDescent="0.15">
      <c r="A136" s="24" t="s">
        <v>159</v>
      </c>
      <c r="B136" s="24" t="s">
        <v>49</v>
      </c>
      <c r="C136" s="24" t="str">
        <f t="shared" si="2"/>
        <v>UU Gametechnologie introductieproject</v>
      </c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</row>
    <row r="137" spans="1:18" ht="15" x14ac:dyDescent="0.15">
      <c r="A137" s="24" t="s">
        <v>160</v>
      </c>
      <c r="B137" s="24" t="s">
        <v>49</v>
      </c>
      <c r="C137" s="24" t="str">
        <f t="shared" si="2"/>
        <v>UU Imperatief programmeren</v>
      </c>
      <c r="D137" s="25"/>
      <c r="E137" s="25"/>
      <c r="F137" s="25"/>
      <c r="G137" s="25" t="s">
        <v>19</v>
      </c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</row>
    <row r="138" spans="1:18" ht="15" x14ac:dyDescent="0.15">
      <c r="A138" s="24" t="s">
        <v>161</v>
      </c>
      <c r="B138" s="24" t="s">
        <v>49</v>
      </c>
      <c r="C138" s="24" t="str">
        <f t="shared" si="2"/>
        <v>UU Informatica introductieproject</v>
      </c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</row>
    <row r="139" spans="1:18" ht="15" x14ac:dyDescent="0.15">
      <c r="A139" s="24" t="s">
        <v>162</v>
      </c>
      <c r="B139" s="24" t="s">
        <v>49</v>
      </c>
      <c r="C139" s="24" t="str">
        <f t="shared" si="2"/>
        <v>UU Informatica softwareproject</v>
      </c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</row>
    <row r="140" spans="1:18" ht="15" x14ac:dyDescent="0.2">
      <c r="A140" s="20" t="s">
        <v>163</v>
      </c>
      <c r="B140" s="20" t="s">
        <v>49</v>
      </c>
      <c r="C140" s="24" t="str">
        <f t="shared" si="2"/>
        <v>UU Information security</v>
      </c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 t="s">
        <v>19</v>
      </c>
      <c r="P140" s="25"/>
      <c r="Q140" s="25"/>
      <c r="R140" s="25"/>
    </row>
    <row r="141" spans="1:18" ht="15" x14ac:dyDescent="0.2">
      <c r="A141" s="20" t="s">
        <v>164</v>
      </c>
      <c r="B141" s="20" t="s">
        <v>49</v>
      </c>
      <c r="C141" s="24" t="str">
        <f t="shared" si="2"/>
        <v>UU Modelleren en programmeren</v>
      </c>
      <c r="D141" s="25"/>
      <c r="E141" s="25"/>
      <c r="F141" s="25"/>
      <c r="G141" s="25" t="s">
        <v>19</v>
      </c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</row>
    <row r="142" spans="1:18" ht="15" x14ac:dyDescent="0.15">
      <c r="A142" s="24" t="s">
        <v>51</v>
      </c>
      <c r="B142" s="24" t="s">
        <v>49</v>
      </c>
      <c r="C142" s="24" t="str">
        <f t="shared" si="2"/>
        <v>UU Modelleren en systeemontwikkeling</v>
      </c>
      <c r="D142" s="25" t="s">
        <v>19</v>
      </c>
      <c r="E142" s="25"/>
      <c r="F142" s="25" t="s">
        <v>19</v>
      </c>
      <c r="G142" s="25" t="s">
        <v>19</v>
      </c>
      <c r="H142" s="25" t="s">
        <v>19</v>
      </c>
      <c r="I142" s="25" t="s">
        <v>19</v>
      </c>
      <c r="J142" s="25"/>
      <c r="K142" s="25"/>
      <c r="L142" s="25"/>
      <c r="M142" s="25" t="s">
        <v>19</v>
      </c>
      <c r="N142" s="25" t="s">
        <v>19</v>
      </c>
      <c r="O142" s="25"/>
      <c r="P142" s="25"/>
      <c r="Q142" s="25"/>
      <c r="R142" s="25"/>
    </row>
    <row r="143" spans="1:18" ht="15" x14ac:dyDescent="0.15">
      <c r="A143" s="24" t="s">
        <v>166</v>
      </c>
      <c r="B143" s="24" t="s">
        <v>49</v>
      </c>
      <c r="C143" s="24" t="str">
        <f t="shared" si="2"/>
        <v>UU Product software</v>
      </c>
      <c r="D143" s="25"/>
      <c r="E143" s="26" t="s">
        <v>19</v>
      </c>
      <c r="F143" s="25"/>
      <c r="G143" s="25"/>
      <c r="H143" s="25"/>
      <c r="I143" s="25"/>
      <c r="J143" s="25"/>
      <c r="K143" s="25"/>
      <c r="L143" s="25"/>
      <c r="M143" s="25"/>
      <c r="N143" s="25" t="s">
        <v>19</v>
      </c>
      <c r="O143" s="25"/>
      <c r="P143" s="25" t="s">
        <v>19</v>
      </c>
      <c r="Q143" s="25"/>
      <c r="R143" s="25"/>
    </row>
    <row r="144" spans="1:18" ht="15" x14ac:dyDescent="0.15">
      <c r="A144" s="24" t="s">
        <v>195</v>
      </c>
      <c r="B144" s="24" t="s">
        <v>49</v>
      </c>
      <c r="C144" s="24" t="str">
        <f t="shared" si="2"/>
        <v>UU Software testing en verificatie</v>
      </c>
      <c r="D144" s="25"/>
      <c r="E144" s="25"/>
      <c r="F144" s="25"/>
      <c r="G144" s="25"/>
      <c r="H144" s="25" t="s">
        <v>19</v>
      </c>
      <c r="I144" s="25"/>
      <c r="J144" s="25"/>
      <c r="K144" s="25"/>
      <c r="L144" s="25"/>
      <c r="M144" s="25"/>
      <c r="N144" s="25"/>
      <c r="O144" s="25"/>
      <c r="P144" s="25"/>
      <c r="Q144" s="25" t="s">
        <v>19</v>
      </c>
      <c r="R144" s="25"/>
    </row>
    <row r="145" spans="1:18" ht="15" x14ac:dyDescent="0.15">
      <c r="A145" s="24" t="s">
        <v>48</v>
      </c>
      <c r="B145" s="24" t="s">
        <v>49</v>
      </c>
      <c r="C145" s="24" t="str">
        <f t="shared" si="2"/>
        <v>UU Systeemontwikkelingsmethoden</v>
      </c>
      <c r="D145" s="25" t="s">
        <v>19</v>
      </c>
      <c r="E145" s="25"/>
      <c r="F145" s="25" t="s">
        <v>19</v>
      </c>
      <c r="G145" s="25" t="s">
        <v>19</v>
      </c>
      <c r="H145" s="25"/>
      <c r="I145" s="25" t="s">
        <v>214</v>
      </c>
      <c r="J145" s="25"/>
      <c r="K145" s="25"/>
      <c r="L145" s="25"/>
      <c r="M145" s="25" t="s">
        <v>19</v>
      </c>
      <c r="N145" s="25" t="s">
        <v>19</v>
      </c>
      <c r="O145" s="25"/>
      <c r="P145" s="25"/>
      <c r="Q145" s="25"/>
      <c r="R145" s="25"/>
    </row>
    <row r="146" spans="1:18" ht="15" x14ac:dyDescent="0.15">
      <c r="A146" s="28" t="s">
        <v>168</v>
      </c>
      <c r="B146" s="24" t="s">
        <v>49</v>
      </c>
      <c r="C146" s="24" t="str">
        <f t="shared" si="2"/>
        <v>UU Talen en compilers</v>
      </c>
      <c r="D146" s="25"/>
      <c r="E146" s="25"/>
      <c r="F146" s="25"/>
      <c r="G146" s="26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 t="s">
        <v>19</v>
      </c>
    </row>
    <row r="147" spans="1:18" ht="16" x14ac:dyDescent="0.2">
      <c r="A147" s="23" t="s">
        <v>169</v>
      </c>
      <c r="B147" s="20" t="s">
        <v>49</v>
      </c>
      <c r="C147" s="24" t="str">
        <f t="shared" si="2"/>
        <v>UU Webtechnologie</v>
      </c>
      <c r="D147" s="25"/>
      <c r="E147" s="25"/>
      <c r="F147" s="25"/>
      <c r="G147" s="25" t="s">
        <v>19</v>
      </c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</row>
    <row r="148" spans="1:18" ht="16" x14ac:dyDescent="0.2">
      <c r="A148" s="23" t="s">
        <v>170</v>
      </c>
      <c r="B148" s="24" t="s">
        <v>49</v>
      </c>
      <c r="C148" s="24" t="str">
        <f t="shared" si="2"/>
        <v>UU Advanced functional programming</v>
      </c>
      <c r="D148" s="25"/>
      <c r="E148" s="25"/>
      <c r="F148" s="25"/>
      <c r="G148" s="25" t="s">
        <v>19</v>
      </c>
      <c r="H148" s="25"/>
      <c r="I148" s="25"/>
      <c r="J148" s="25"/>
      <c r="K148" s="25"/>
      <c r="L148" s="25"/>
      <c r="M148" s="25"/>
      <c r="N148" s="25"/>
      <c r="O148" s="25"/>
      <c r="P148" s="25"/>
      <c r="Q148" s="26"/>
      <c r="R148" s="25" t="s">
        <v>19</v>
      </c>
    </row>
    <row r="149" spans="1:18" ht="15" x14ac:dyDescent="0.15">
      <c r="A149" s="24" t="s">
        <v>171</v>
      </c>
      <c r="B149" s="24" t="s">
        <v>49</v>
      </c>
      <c r="C149" s="24" t="str">
        <f t="shared" si="2"/>
        <v>UU Concepts of programming language design</v>
      </c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 t="s">
        <v>19</v>
      </c>
    </row>
    <row r="150" spans="1:18" ht="16" x14ac:dyDescent="0.2">
      <c r="A150" s="23" t="s">
        <v>172</v>
      </c>
      <c r="B150" s="24" t="s">
        <v>49</v>
      </c>
      <c r="C150" s="24" t="str">
        <f t="shared" si="2"/>
        <v>UU Domain-specific languages</v>
      </c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6" t="s">
        <v>19</v>
      </c>
      <c r="P150" s="25"/>
      <c r="Q150" s="25" t="s">
        <v>19</v>
      </c>
      <c r="R150" s="25" t="s">
        <v>19</v>
      </c>
    </row>
    <row r="151" spans="1:18" ht="15" x14ac:dyDescent="0.15">
      <c r="A151" s="24" t="s">
        <v>50</v>
      </c>
      <c r="B151" s="24" t="s">
        <v>49</v>
      </c>
      <c r="C151" s="24" t="str">
        <f t="shared" si="2"/>
        <v>UU Method Engineering</v>
      </c>
      <c r="D151" s="25"/>
      <c r="E151" s="25"/>
      <c r="F151" s="25"/>
      <c r="G151" s="25"/>
      <c r="H151" s="25"/>
      <c r="I151" s="25"/>
      <c r="J151" s="25"/>
      <c r="K151" s="25"/>
      <c r="L151" s="25"/>
      <c r="M151" s="25" t="s">
        <v>19</v>
      </c>
      <c r="N151" s="26"/>
      <c r="O151" s="25"/>
      <c r="P151" s="25"/>
      <c r="Q151" s="25"/>
      <c r="R151" s="25"/>
    </row>
    <row r="152" spans="1:18" ht="15" x14ac:dyDescent="0.15">
      <c r="A152" s="24" t="s">
        <v>173</v>
      </c>
      <c r="B152" s="24" t="s">
        <v>49</v>
      </c>
      <c r="C152" s="24" t="str">
        <f t="shared" si="2"/>
        <v>UU Program semantics and verification</v>
      </c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 t="s">
        <v>19</v>
      </c>
      <c r="R152" s="25"/>
    </row>
    <row r="153" spans="1:18" ht="15" x14ac:dyDescent="0.15">
      <c r="A153" s="24" t="s">
        <v>35</v>
      </c>
      <c r="B153" s="24" t="s">
        <v>49</v>
      </c>
      <c r="C153" s="24" t="str">
        <f t="shared" si="2"/>
        <v>UU Requirements Engineering</v>
      </c>
      <c r="D153" s="25" t="s">
        <v>19</v>
      </c>
      <c r="E153" s="25"/>
      <c r="F153" s="25"/>
      <c r="G153" s="25"/>
      <c r="H153" s="25"/>
      <c r="I153" s="25"/>
      <c r="J153" s="25"/>
      <c r="K153" s="25"/>
      <c r="L153" s="25" t="s">
        <v>19</v>
      </c>
      <c r="M153" s="25"/>
      <c r="N153" s="26"/>
      <c r="O153" s="25"/>
      <c r="P153" s="25"/>
      <c r="Q153" s="25"/>
      <c r="R153" s="25"/>
    </row>
    <row r="154" spans="1:18" ht="15" x14ac:dyDescent="0.2">
      <c r="A154" s="20" t="s">
        <v>174</v>
      </c>
      <c r="B154" s="20" t="s">
        <v>49</v>
      </c>
      <c r="C154" s="24" t="str">
        <f t="shared" si="2"/>
        <v>UU Science-based entrepreneurship</v>
      </c>
      <c r="D154" s="25"/>
      <c r="E154" s="25" t="s">
        <v>19</v>
      </c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 t="s">
        <v>19</v>
      </c>
      <c r="Q154" s="25"/>
      <c r="R154" s="25"/>
    </row>
    <row r="155" spans="1:18" ht="15" x14ac:dyDescent="0.15">
      <c r="A155" s="24" t="s">
        <v>66</v>
      </c>
      <c r="B155" s="24" t="s">
        <v>49</v>
      </c>
      <c r="C155" s="24" t="str">
        <f t="shared" si="2"/>
        <v>UU Software Architecture</v>
      </c>
      <c r="D155" s="25" t="s">
        <v>19</v>
      </c>
      <c r="E155" s="25" t="s">
        <v>19</v>
      </c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</row>
    <row r="156" spans="1:18" ht="15" x14ac:dyDescent="0.15">
      <c r="A156" s="24" t="s">
        <v>175</v>
      </c>
      <c r="B156" s="24" t="s">
        <v>49</v>
      </c>
      <c r="C156" s="24" t="str">
        <f t="shared" si="2"/>
        <v>UU Software Ecosystems</v>
      </c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 t="s">
        <v>19</v>
      </c>
      <c r="O156" s="25"/>
      <c r="P156" s="25" t="s">
        <v>19</v>
      </c>
      <c r="Q156" s="25"/>
      <c r="R156" s="25"/>
    </row>
    <row r="157" spans="1:18" ht="15" x14ac:dyDescent="0.2">
      <c r="A157" s="20" t="s">
        <v>176</v>
      </c>
      <c r="B157" s="20" t="s">
        <v>27</v>
      </c>
      <c r="C157" s="24" t="str">
        <f t="shared" si="2"/>
        <v>UVA C++ programmeermethoden</v>
      </c>
      <c r="D157" s="25"/>
      <c r="E157" s="25"/>
      <c r="F157" s="25"/>
      <c r="G157" s="25" t="s">
        <v>19</v>
      </c>
      <c r="H157" s="26"/>
      <c r="I157" s="25"/>
      <c r="J157" s="25"/>
      <c r="K157" s="25"/>
      <c r="L157" s="25"/>
      <c r="M157" s="25"/>
      <c r="N157" s="25"/>
      <c r="O157" s="25"/>
      <c r="P157" s="25"/>
      <c r="Q157" s="25"/>
      <c r="R157" s="25"/>
    </row>
    <row r="158" spans="1:18" ht="15" x14ac:dyDescent="0.2">
      <c r="A158" s="20" t="s">
        <v>101</v>
      </c>
      <c r="B158" s="20" t="s">
        <v>27</v>
      </c>
      <c r="C158" s="24" t="str">
        <f t="shared" si="2"/>
        <v>UVA Compiler Construction</v>
      </c>
      <c r="D158" s="25"/>
      <c r="E158" s="25"/>
      <c r="F158" s="25"/>
      <c r="G158" s="26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 t="s">
        <v>19</v>
      </c>
    </row>
    <row r="159" spans="1:18" ht="15" x14ac:dyDescent="0.2">
      <c r="A159" s="20" t="s">
        <v>177</v>
      </c>
      <c r="B159" s="20" t="s">
        <v>27</v>
      </c>
      <c r="C159" s="24" t="str">
        <f t="shared" si="2"/>
        <v>UVA Computer Systems and Engineering - Information and Data management</v>
      </c>
      <c r="D159" s="25"/>
      <c r="E159" s="25"/>
      <c r="F159" s="25"/>
      <c r="G159" s="26" t="s">
        <v>19</v>
      </c>
      <c r="H159" s="25"/>
      <c r="I159" s="25"/>
      <c r="J159" s="25"/>
      <c r="K159" s="25"/>
      <c r="L159" s="25"/>
      <c r="M159" s="26"/>
      <c r="N159" s="26"/>
      <c r="O159" s="25"/>
      <c r="P159" s="25" t="s">
        <v>19</v>
      </c>
      <c r="Q159" s="25"/>
      <c r="R159" s="25"/>
    </row>
    <row r="160" spans="1:18" ht="15" x14ac:dyDescent="0.2">
      <c r="A160" s="20" t="s">
        <v>178</v>
      </c>
      <c r="B160" s="20" t="s">
        <v>27</v>
      </c>
      <c r="C160" s="24" t="str">
        <f t="shared" si="2"/>
        <v>UVA Distributed and Parallel Programming</v>
      </c>
      <c r="D160" s="25"/>
      <c r="E160" s="26"/>
      <c r="F160" s="26"/>
      <c r="G160" s="25" t="s">
        <v>19</v>
      </c>
      <c r="H160" s="26"/>
      <c r="I160" s="25"/>
      <c r="J160" s="25"/>
      <c r="K160" s="26"/>
      <c r="L160" s="25"/>
      <c r="M160" s="25"/>
      <c r="N160" s="25"/>
      <c r="O160" s="25"/>
      <c r="P160" s="25"/>
      <c r="Q160" s="25"/>
      <c r="R160" s="25"/>
    </row>
    <row r="161" spans="1:18" ht="15" x14ac:dyDescent="0.2">
      <c r="A161" s="20" t="s">
        <v>179</v>
      </c>
      <c r="B161" s="20" t="s">
        <v>27</v>
      </c>
      <c r="C161" s="24" t="str">
        <f t="shared" si="2"/>
        <v>UVA Inleiding Programmeren</v>
      </c>
      <c r="D161" s="25"/>
      <c r="E161" s="25"/>
      <c r="F161" s="26"/>
      <c r="G161" s="25" t="s">
        <v>19</v>
      </c>
      <c r="H161" s="26"/>
      <c r="I161" s="25"/>
      <c r="J161" s="25"/>
      <c r="K161" s="25"/>
      <c r="L161" s="25"/>
      <c r="M161" s="25"/>
      <c r="N161" s="25"/>
      <c r="O161" s="25"/>
      <c r="P161" s="25"/>
      <c r="Q161" s="25"/>
      <c r="R161" s="25"/>
    </row>
    <row r="162" spans="1:18" ht="15" x14ac:dyDescent="0.2">
      <c r="A162" s="20" t="s">
        <v>180</v>
      </c>
      <c r="B162" s="20" t="s">
        <v>27</v>
      </c>
      <c r="C162" s="24" t="str">
        <f t="shared" si="2"/>
        <v>UVA Introductie in Programmeren</v>
      </c>
      <c r="D162" s="25"/>
      <c r="E162" s="25"/>
      <c r="F162" s="26"/>
      <c r="G162" s="25" t="s">
        <v>19</v>
      </c>
      <c r="H162" s="26"/>
      <c r="I162" s="25"/>
      <c r="J162" s="25"/>
      <c r="K162" s="25"/>
      <c r="L162" s="25"/>
      <c r="M162" s="25"/>
      <c r="N162" s="25"/>
      <c r="O162" s="25"/>
      <c r="P162" s="25"/>
      <c r="Q162" s="25"/>
      <c r="R162" s="25"/>
    </row>
    <row r="163" spans="1:18" ht="15" x14ac:dyDescent="0.2">
      <c r="A163" s="20" t="s">
        <v>181</v>
      </c>
      <c r="B163" s="20" t="s">
        <v>27</v>
      </c>
      <c r="C163" s="24" t="str">
        <f t="shared" si="2"/>
        <v>UVA Programeerproject</v>
      </c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</row>
    <row r="164" spans="1:18" ht="15" x14ac:dyDescent="0.2">
      <c r="A164" s="20" t="s">
        <v>182</v>
      </c>
      <c r="B164" s="20" t="s">
        <v>27</v>
      </c>
      <c r="C164" s="24" t="str">
        <f t="shared" si="2"/>
        <v>UVA Programmeertalen</v>
      </c>
      <c r="D164" s="25"/>
      <c r="E164" s="25"/>
      <c r="F164" s="25"/>
      <c r="G164" s="25" t="s">
        <v>19</v>
      </c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 t="s">
        <v>19</v>
      </c>
    </row>
    <row r="165" spans="1:18" ht="15" x14ac:dyDescent="0.2">
      <c r="A165" s="20" t="s">
        <v>183</v>
      </c>
      <c r="B165" s="20" t="s">
        <v>27</v>
      </c>
      <c r="C165" s="24" t="str">
        <f t="shared" si="2"/>
        <v>UVA Programmeren 1</v>
      </c>
      <c r="D165" s="25"/>
      <c r="E165" s="25"/>
      <c r="F165" s="25"/>
      <c r="G165" s="25" t="s">
        <v>19</v>
      </c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</row>
    <row r="166" spans="1:18" ht="15" x14ac:dyDescent="0.2">
      <c r="A166" s="20" t="s">
        <v>184</v>
      </c>
      <c r="B166" s="20" t="s">
        <v>27</v>
      </c>
      <c r="C166" s="24" t="str">
        <f t="shared" si="2"/>
        <v>UVA Programmeren 2</v>
      </c>
      <c r="D166" s="25"/>
      <c r="E166" s="25"/>
      <c r="F166" s="26"/>
      <c r="G166" s="25" t="s">
        <v>19</v>
      </c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</row>
    <row r="167" spans="1:18" ht="15" x14ac:dyDescent="0.2">
      <c r="A167" s="20" t="s">
        <v>185</v>
      </c>
      <c r="B167" s="20" t="s">
        <v>27</v>
      </c>
      <c r="C167" s="24" t="str">
        <f t="shared" si="2"/>
        <v>UVA Programmeren en Experimenteren</v>
      </c>
      <c r="D167" s="25"/>
      <c r="E167" s="25"/>
      <c r="F167" s="26"/>
      <c r="G167" s="25" t="s">
        <v>19</v>
      </c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</row>
    <row r="168" spans="1:18" ht="15" x14ac:dyDescent="0.2">
      <c r="A168" s="20" t="s">
        <v>186</v>
      </c>
      <c r="B168" s="20" t="s">
        <v>27</v>
      </c>
      <c r="C168" s="24" t="str">
        <f t="shared" si="2"/>
        <v>UVA Programmeren IK</v>
      </c>
      <c r="D168" s="25"/>
      <c r="E168" s="25"/>
      <c r="F168" s="26"/>
      <c r="G168" s="25" t="s">
        <v>19</v>
      </c>
      <c r="H168" s="26"/>
      <c r="I168" s="25"/>
      <c r="J168" s="25"/>
      <c r="K168" s="25"/>
      <c r="L168" s="25"/>
      <c r="M168" s="25"/>
      <c r="N168" s="25"/>
      <c r="O168" s="25"/>
      <c r="P168" s="25"/>
      <c r="Q168" s="25"/>
      <c r="R168" s="25"/>
    </row>
    <row r="169" spans="1:18" ht="15" x14ac:dyDescent="0.2">
      <c r="A169" s="20" t="s">
        <v>187</v>
      </c>
      <c r="B169" s="20" t="s">
        <v>27</v>
      </c>
      <c r="C169" s="24" t="str">
        <f t="shared" si="2"/>
        <v>UVA Programming for Computational Sciences</v>
      </c>
      <c r="D169" s="25"/>
      <c r="E169" s="25"/>
      <c r="F169" s="25"/>
      <c r="G169" s="25" t="s">
        <v>19</v>
      </c>
      <c r="H169" s="26"/>
      <c r="I169" s="25"/>
      <c r="J169" s="25"/>
      <c r="K169" s="25"/>
      <c r="L169" s="25"/>
      <c r="M169" s="25"/>
      <c r="N169" s="25"/>
      <c r="O169" s="25"/>
      <c r="P169" s="25"/>
      <c r="Q169" s="25"/>
      <c r="R169" s="25"/>
    </row>
    <row r="170" spans="1:18" ht="15" x14ac:dyDescent="0.2">
      <c r="A170" s="20" t="s">
        <v>188</v>
      </c>
      <c r="B170" s="20" t="s">
        <v>27</v>
      </c>
      <c r="C170" s="24" t="str">
        <f t="shared" si="2"/>
        <v>UVA Programming in R</v>
      </c>
      <c r="D170" s="25"/>
      <c r="E170" s="25"/>
      <c r="F170" s="25"/>
      <c r="G170" s="25" t="s">
        <v>19</v>
      </c>
      <c r="H170" s="26"/>
      <c r="I170" s="25"/>
      <c r="J170" s="25"/>
      <c r="K170" s="25"/>
      <c r="L170" s="25"/>
      <c r="M170" s="25"/>
      <c r="N170" s="25"/>
      <c r="O170" s="25"/>
      <c r="P170" s="25"/>
      <c r="Q170" s="25"/>
      <c r="R170" s="25"/>
    </row>
    <row r="171" spans="1:18" ht="15" x14ac:dyDescent="0.2">
      <c r="A171" s="20" t="s">
        <v>189</v>
      </c>
      <c r="B171" s="20" t="s">
        <v>27</v>
      </c>
      <c r="C171" s="24" t="str">
        <f t="shared" si="2"/>
        <v>UVA Project Software Engineering</v>
      </c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</row>
    <row r="172" spans="1:18" ht="15" x14ac:dyDescent="0.2">
      <c r="A172" s="20" t="s">
        <v>190</v>
      </c>
      <c r="B172" s="20" t="s">
        <v>27</v>
      </c>
      <c r="C172" s="24" t="str">
        <f t="shared" si="2"/>
        <v>UVA Python for Data Processing</v>
      </c>
      <c r="D172" s="25"/>
      <c r="E172" s="25"/>
      <c r="F172" s="25"/>
      <c r="G172" s="25" t="s">
        <v>19</v>
      </c>
      <c r="H172" s="26"/>
      <c r="I172" s="25"/>
      <c r="J172" s="25"/>
      <c r="K172" s="25"/>
      <c r="L172" s="25"/>
      <c r="M172" s="25"/>
      <c r="N172" s="25"/>
      <c r="O172" s="25"/>
      <c r="P172" s="25"/>
      <c r="Q172" s="25"/>
      <c r="R172" s="25"/>
    </row>
    <row r="173" spans="1:18" ht="15" x14ac:dyDescent="0.2">
      <c r="A173" s="20" t="s">
        <v>191</v>
      </c>
      <c r="B173" s="20" t="s">
        <v>27</v>
      </c>
      <c r="C173" s="24" t="str">
        <f t="shared" si="2"/>
        <v>UVA Scientific Programming 1</v>
      </c>
      <c r="D173" s="25"/>
      <c r="E173" s="25"/>
      <c r="F173" s="25"/>
      <c r="G173" s="25" t="s">
        <v>19</v>
      </c>
      <c r="H173" s="26"/>
      <c r="I173" s="25"/>
      <c r="J173" s="25"/>
      <c r="K173" s="25"/>
      <c r="L173" s="25"/>
      <c r="M173" s="25"/>
      <c r="N173" s="25"/>
      <c r="O173" s="25"/>
      <c r="P173" s="25"/>
      <c r="Q173" s="25"/>
      <c r="R173" s="25"/>
    </row>
    <row r="174" spans="1:18" ht="15" x14ac:dyDescent="0.2">
      <c r="A174" s="20" t="s">
        <v>192</v>
      </c>
      <c r="B174" s="20" t="s">
        <v>27</v>
      </c>
      <c r="C174" s="24" t="str">
        <f t="shared" si="2"/>
        <v>UVA Scientific Programming 2</v>
      </c>
      <c r="D174" s="25"/>
      <c r="E174" s="25"/>
      <c r="F174" s="26"/>
      <c r="G174" s="25" t="s">
        <v>19</v>
      </c>
      <c r="H174" s="26"/>
      <c r="I174" s="25"/>
      <c r="J174" s="25"/>
      <c r="K174" s="25"/>
      <c r="L174" s="25"/>
      <c r="M174" s="25"/>
      <c r="N174" s="25"/>
      <c r="O174" s="25"/>
      <c r="P174" s="25"/>
      <c r="Q174" s="25"/>
      <c r="R174" s="25"/>
    </row>
    <row r="175" spans="1:18" ht="15" x14ac:dyDescent="0.2">
      <c r="A175" s="20" t="s">
        <v>90</v>
      </c>
      <c r="B175" s="20" t="s">
        <v>27</v>
      </c>
      <c r="C175" s="24" t="str">
        <f t="shared" si="2"/>
        <v>UVA Software Engineering</v>
      </c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</row>
    <row r="176" spans="1:18" ht="15" x14ac:dyDescent="0.2">
      <c r="A176" s="20" t="s">
        <v>193</v>
      </c>
      <c r="B176" s="20" t="s">
        <v>27</v>
      </c>
      <c r="C176" s="24" t="str">
        <f t="shared" si="2"/>
        <v>UVA Theory of functional programming</v>
      </c>
      <c r="D176" s="25"/>
      <c r="E176" s="25"/>
      <c r="F176" s="25"/>
      <c r="G176" s="25" t="s">
        <v>19</v>
      </c>
      <c r="H176" s="25"/>
      <c r="I176" s="25"/>
      <c r="J176" s="25"/>
      <c r="K176" s="25"/>
      <c r="L176" s="25"/>
      <c r="M176" s="25"/>
      <c r="N176" s="25"/>
      <c r="O176" s="25"/>
      <c r="P176" s="25"/>
      <c r="Q176" s="26"/>
      <c r="R176" s="25" t="s">
        <v>19</v>
      </c>
    </row>
    <row r="177" spans="1:18" ht="15" x14ac:dyDescent="0.2">
      <c r="A177" s="20" t="s">
        <v>128</v>
      </c>
      <c r="B177" s="20" t="s">
        <v>27</v>
      </c>
      <c r="C177" s="24" t="str">
        <f t="shared" si="2"/>
        <v>UVA Cryptographic Engineering</v>
      </c>
      <c r="D177" s="25"/>
      <c r="E177" s="25"/>
      <c r="F177" s="26"/>
      <c r="G177" s="25" t="s">
        <v>19</v>
      </c>
      <c r="H177" s="25" t="s">
        <v>19</v>
      </c>
      <c r="I177" s="25"/>
      <c r="J177" s="25"/>
      <c r="K177" s="25"/>
      <c r="L177" s="25"/>
      <c r="M177" s="25"/>
      <c r="N177" s="25"/>
      <c r="O177" s="25" t="s">
        <v>19</v>
      </c>
      <c r="P177" s="25"/>
      <c r="Q177" s="25"/>
      <c r="R177" s="25"/>
    </row>
    <row r="178" spans="1:18" ht="15" x14ac:dyDescent="0.2">
      <c r="A178" s="20" t="s">
        <v>42</v>
      </c>
      <c r="B178" s="20" t="s">
        <v>27</v>
      </c>
      <c r="C178" s="24" t="str">
        <f t="shared" si="2"/>
        <v>UVA DevOps and Cloud-based Systems</v>
      </c>
      <c r="D178" s="25"/>
      <c r="E178" s="25"/>
      <c r="F178" s="25"/>
      <c r="G178" s="25"/>
      <c r="H178" s="25"/>
      <c r="I178" s="25" t="s">
        <v>19</v>
      </c>
      <c r="J178" s="25"/>
      <c r="K178" s="25" t="s">
        <v>19</v>
      </c>
      <c r="L178" s="25"/>
      <c r="M178" s="25" t="s">
        <v>19</v>
      </c>
      <c r="N178" s="25"/>
      <c r="O178" s="25"/>
      <c r="P178" s="25"/>
      <c r="Q178" s="25"/>
      <c r="R178" s="25"/>
    </row>
    <row r="179" spans="1:18" ht="15" x14ac:dyDescent="0.2">
      <c r="A179" s="20" t="s">
        <v>86</v>
      </c>
      <c r="B179" s="20" t="s">
        <v>27</v>
      </c>
      <c r="C179" s="24" t="str">
        <f t="shared" si="2"/>
        <v>UVA Functional Programming</v>
      </c>
      <c r="D179" s="25"/>
      <c r="E179" s="25"/>
      <c r="F179" s="26"/>
      <c r="G179" s="25" t="s">
        <v>19</v>
      </c>
      <c r="H179" s="26"/>
      <c r="I179" s="25"/>
      <c r="J179" s="25"/>
      <c r="K179" s="25"/>
      <c r="L179" s="25"/>
      <c r="M179" s="25"/>
      <c r="N179" s="25"/>
      <c r="O179" s="25"/>
      <c r="P179" s="25"/>
      <c r="Q179" s="25" t="s">
        <v>19</v>
      </c>
      <c r="R179" s="25"/>
    </row>
    <row r="180" spans="1:18" ht="15" x14ac:dyDescent="0.2">
      <c r="A180" s="20" t="s">
        <v>194</v>
      </c>
      <c r="B180" s="20" t="s">
        <v>27</v>
      </c>
      <c r="C180" s="24" t="str">
        <f t="shared" si="2"/>
        <v>UVA Model-based Design of Cyber-physical Systems</v>
      </c>
      <c r="D180" s="25"/>
      <c r="E180" s="25"/>
      <c r="F180" s="25" t="s">
        <v>19</v>
      </c>
      <c r="G180" s="25"/>
      <c r="H180" s="25"/>
      <c r="I180" s="25"/>
      <c r="J180" s="25"/>
      <c r="K180" s="25"/>
      <c r="L180" s="25"/>
      <c r="M180" s="25"/>
      <c r="N180" s="26" t="s">
        <v>19</v>
      </c>
      <c r="O180" s="25"/>
      <c r="P180" s="25"/>
      <c r="Q180" s="26"/>
      <c r="R180" s="25"/>
    </row>
    <row r="181" spans="1:18" ht="15" x14ac:dyDescent="0.2">
      <c r="A181" s="20" t="s">
        <v>35</v>
      </c>
      <c r="B181" s="20" t="s">
        <v>27</v>
      </c>
      <c r="C181" s="24" t="str">
        <f t="shared" si="2"/>
        <v>UVA Requirements Engineering</v>
      </c>
      <c r="D181" s="25" t="s">
        <v>19</v>
      </c>
      <c r="E181" s="25"/>
      <c r="F181" s="25"/>
      <c r="G181" s="25"/>
      <c r="H181" s="25"/>
      <c r="I181" s="25"/>
      <c r="J181" s="25"/>
      <c r="K181" s="25"/>
      <c r="L181" s="25"/>
      <c r="M181" s="25" t="s">
        <v>19</v>
      </c>
      <c r="N181" s="26" t="s">
        <v>19</v>
      </c>
      <c r="O181" s="25"/>
      <c r="P181" s="25"/>
      <c r="Q181" s="25"/>
      <c r="R181" s="25"/>
    </row>
    <row r="182" spans="1:18" ht="15" x14ac:dyDescent="0.2">
      <c r="A182" s="20" t="s">
        <v>70</v>
      </c>
      <c r="B182" s="20" t="s">
        <v>27</v>
      </c>
      <c r="C182" s="24" t="str">
        <f t="shared" si="2"/>
        <v>UVA Software Evolution</v>
      </c>
      <c r="D182" s="25"/>
      <c r="E182" s="25"/>
      <c r="F182" s="25"/>
      <c r="G182" s="25"/>
      <c r="H182" s="25"/>
      <c r="I182" s="25"/>
      <c r="J182" s="25" t="s">
        <v>19</v>
      </c>
      <c r="K182" s="25"/>
      <c r="L182" s="25"/>
      <c r="M182" s="25"/>
      <c r="N182" s="25"/>
      <c r="O182" s="25"/>
      <c r="P182" s="25"/>
      <c r="Q182" s="25"/>
      <c r="R182" s="25"/>
    </row>
    <row r="183" spans="1:18" ht="15" x14ac:dyDescent="0.2">
      <c r="A183" s="20" t="s">
        <v>26</v>
      </c>
      <c r="B183" s="20" t="s">
        <v>27</v>
      </c>
      <c r="C183" s="24" t="str">
        <f t="shared" si="2"/>
        <v>UVA Software Process</v>
      </c>
      <c r="D183" s="25"/>
      <c r="E183" s="26"/>
      <c r="F183" s="25"/>
      <c r="G183" s="25"/>
      <c r="H183" s="25"/>
      <c r="I183" s="26" t="s">
        <v>19</v>
      </c>
      <c r="J183" s="26" t="s">
        <v>19</v>
      </c>
      <c r="K183" s="25"/>
      <c r="L183" s="26" t="s">
        <v>19</v>
      </c>
      <c r="M183" s="25" t="s">
        <v>19</v>
      </c>
      <c r="N183" s="25"/>
      <c r="O183" s="25"/>
      <c r="P183" s="25"/>
      <c r="Q183" s="25"/>
      <c r="R183" s="25"/>
    </row>
    <row r="184" spans="1:18" ht="15" x14ac:dyDescent="0.2">
      <c r="A184" s="20" t="s">
        <v>85</v>
      </c>
      <c r="B184" s="20" t="s">
        <v>27</v>
      </c>
      <c r="C184" s="24" t="str">
        <f t="shared" si="2"/>
        <v>UVA Software Specification Verification and Testing</v>
      </c>
      <c r="D184" s="25"/>
      <c r="E184" s="25"/>
      <c r="F184" s="25"/>
      <c r="G184" s="25"/>
      <c r="H184" s="25" t="s">
        <v>19</v>
      </c>
      <c r="I184" s="25"/>
      <c r="J184" s="25"/>
      <c r="K184" s="25"/>
      <c r="L184" s="25"/>
      <c r="M184" s="25"/>
      <c r="N184" s="25"/>
      <c r="O184" s="25"/>
      <c r="P184" s="25"/>
      <c r="Q184" s="25" t="s">
        <v>19</v>
      </c>
      <c r="R184" s="25"/>
    </row>
    <row r="185" spans="1:18" ht="15" x14ac:dyDescent="0.2">
      <c r="A185" s="20" t="s">
        <v>101</v>
      </c>
      <c r="B185" s="20" t="s">
        <v>36</v>
      </c>
      <c r="C185" s="24" t="str">
        <f t="shared" si="2"/>
        <v>VU Compiler Construction</v>
      </c>
      <c r="D185" s="25"/>
      <c r="E185" s="25"/>
      <c r="F185" s="25"/>
      <c r="G185" s="26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 t="s">
        <v>19</v>
      </c>
    </row>
    <row r="186" spans="1:18" ht="15" x14ac:dyDescent="0.2">
      <c r="A186" s="20" t="s">
        <v>196</v>
      </c>
      <c r="B186" s="20" t="s">
        <v>36</v>
      </c>
      <c r="C186" s="24" t="str">
        <f t="shared" si="2"/>
        <v>VU Computational Thinking for Coders</v>
      </c>
      <c r="D186" s="25"/>
      <c r="E186" s="25"/>
      <c r="F186" s="25"/>
      <c r="G186" s="25" t="s">
        <v>19</v>
      </c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</row>
    <row r="187" spans="1:18" ht="15" x14ac:dyDescent="0.2">
      <c r="A187" s="20" t="s">
        <v>197</v>
      </c>
      <c r="B187" s="20" t="s">
        <v>36</v>
      </c>
      <c r="C187" s="24" t="str">
        <f t="shared" si="2"/>
        <v>VU Computer Programming</v>
      </c>
      <c r="D187" s="25"/>
      <c r="E187" s="25"/>
      <c r="F187" s="25"/>
      <c r="G187" s="25" t="s">
        <v>19</v>
      </c>
      <c r="H187" s="25"/>
      <c r="I187" s="25"/>
      <c r="J187" s="25"/>
      <c r="K187" s="26"/>
      <c r="L187" s="25"/>
      <c r="M187" s="25"/>
      <c r="N187" s="25"/>
      <c r="O187" s="25"/>
      <c r="P187" s="25"/>
      <c r="Q187" s="25"/>
      <c r="R187" s="25"/>
    </row>
    <row r="188" spans="1:18" ht="15" x14ac:dyDescent="0.2">
      <c r="A188" s="20" t="s">
        <v>198</v>
      </c>
      <c r="B188" s="20" t="s">
        <v>36</v>
      </c>
      <c r="C188" s="24" t="str">
        <f t="shared" si="2"/>
        <v>VU Computer Programming Project</v>
      </c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</row>
    <row r="189" spans="1:18" ht="15" x14ac:dyDescent="0.2">
      <c r="A189" s="20" t="s">
        <v>199</v>
      </c>
      <c r="B189" s="20" t="s">
        <v>36</v>
      </c>
      <c r="C189" s="24" t="str">
        <f t="shared" si="2"/>
        <v>VU Equational Programming</v>
      </c>
      <c r="D189" s="25"/>
      <c r="E189" s="25"/>
      <c r="F189" s="25"/>
      <c r="G189" s="25" t="s">
        <v>19</v>
      </c>
      <c r="H189" s="26"/>
      <c r="I189" s="26"/>
      <c r="J189" s="25"/>
      <c r="K189" s="25"/>
      <c r="L189" s="25"/>
      <c r="M189" s="25"/>
      <c r="N189" s="25"/>
      <c r="O189" s="25"/>
      <c r="P189" s="25"/>
      <c r="Q189" s="25"/>
      <c r="R189" s="25"/>
    </row>
    <row r="190" spans="1:18" ht="15" x14ac:dyDescent="0.2">
      <c r="A190" s="20" t="s">
        <v>200</v>
      </c>
      <c r="B190" s="20" t="s">
        <v>36</v>
      </c>
      <c r="C190" s="24" t="str">
        <f t="shared" si="2"/>
        <v>VU Introduction to Programming</v>
      </c>
      <c r="D190" s="25"/>
      <c r="E190" s="25"/>
      <c r="F190" s="26"/>
      <c r="G190" s="25" t="s">
        <v>19</v>
      </c>
      <c r="H190" s="26"/>
      <c r="I190" s="25"/>
      <c r="J190" s="25"/>
      <c r="K190" s="26"/>
      <c r="L190" s="25"/>
      <c r="M190" s="25"/>
      <c r="N190" s="25"/>
      <c r="O190" s="25"/>
      <c r="P190" s="25"/>
      <c r="Q190" s="25"/>
      <c r="R190" s="25"/>
    </row>
    <row r="191" spans="1:18" ht="15" x14ac:dyDescent="0.2">
      <c r="A191" s="20" t="s">
        <v>201</v>
      </c>
      <c r="B191" s="20" t="s">
        <v>36</v>
      </c>
      <c r="C191" s="24" t="str">
        <f t="shared" si="2"/>
        <v>VU Object-Oriented and Functional Programming</v>
      </c>
      <c r="D191" s="25"/>
      <c r="E191" s="25"/>
      <c r="F191" s="26"/>
      <c r="G191" s="25" t="s">
        <v>19</v>
      </c>
      <c r="H191" s="26"/>
      <c r="I191" s="25"/>
      <c r="J191" s="25"/>
      <c r="K191" s="25"/>
      <c r="L191" s="25"/>
      <c r="M191" s="26"/>
      <c r="N191" s="25"/>
      <c r="O191" s="25"/>
      <c r="P191" s="25"/>
      <c r="Q191" s="25"/>
      <c r="R191" s="25"/>
    </row>
    <row r="192" spans="1:18" ht="15" x14ac:dyDescent="0.2">
      <c r="A192" s="20" t="s">
        <v>35</v>
      </c>
      <c r="B192" s="20" t="s">
        <v>36</v>
      </c>
      <c r="C192" s="24" t="str">
        <f t="shared" si="2"/>
        <v>VU Requirements Engineering</v>
      </c>
      <c r="D192" s="25" t="s">
        <v>19</v>
      </c>
      <c r="E192" s="25"/>
      <c r="F192" s="25"/>
      <c r="G192" s="25"/>
      <c r="H192" s="25"/>
      <c r="I192" s="25"/>
      <c r="J192" s="25"/>
      <c r="K192" s="25"/>
      <c r="L192" s="25" t="s">
        <v>19</v>
      </c>
      <c r="M192" s="26" t="s">
        <v>19</v>
      </c>
      <c r="N192" s="26"/>
      <c r="O192" s="25"/>
      <c r="P192" s="25"/>
      <c r="Q192" s="25"/>
      <c r="R192" s="25"/>
    </row>
    <row r="193" spans="1:18" ht="15" x14ac:dyDescent="0.2">
      <c r="A193" s="20" t="s">
        <v>202</v>
      </c>
      <c r="B193" s="20" t="s">
        <v>36</v>
      </c>
      <c r="C193" s="24" t="str">
        <f t="shared" si="2"/>
        <v>VU Secure programming</v>
      </c>
      <c r="D193" s="25"/>
      <c r="E193" s="25"/>
      <c r="F193" s="25"/>
      <c r="G193" s="25" t="s">
        <v>19</v>
      </c>
      <c r="H193" s="26"/>
      <c r="I193" s="25"/>
      <c r="J193" s="25"/>
      <c r="K193" s="25"/>
      <c r="L193" s="25"/>
      <c r="M193" s="25"/>
      <c r="N193" s="25"/>
      <c r="O193" s="25" t="s">
        <v>19</v>
      </c>
      <c r="P193" s="25"/>
      <c r="Q193" s="25" t="s">
        <v>19</v>
      </c>
      <c r="R193" s="25"/>
    </row>
    <row r="194" spans="1:18" ht="15" x14ac:dyDescent="0.2">
      <c r="A194" s="20" t="s">
        <v>203</v>
      </c>
      <c r="B194" s="20" t="s">
        <v>36</v>
      </c>
      <c r="C194" s="24" t="str">
        <f t="shared" si="2"/>
        <v>VU Security and Safety Engineering</v>
      </c>
      <c r="D194" s="26"/>
      <c r="E194" s="25"/>
      <c r="F194" s="25"/>
      <c r="G194" s="26"/>
      <c r="H194" s="26"/>
      <c r="I194" s="25"/>
      <c r="J194" s="25"/>
      <c r="K194" s="25"/>
      <c r="L194" s="25"/>
      <c r="M194" s="25"/>
      <c r="N194" s="26" t="s">
        <v>19</v>
      </c>
      <c r="O194" s="25" t="s">
        <v>19</v>
      </c>
      <c r="P194" s="25"/>
      <c r="Q194" s="25" t="s">
        <v>19</v>
      </c>
      <c r="R194" s="25"/>
    </row>
    <row r="195" spans="1:18" ht="15" x14ac:dyDescent="0.2">
      <c r="A195" s="20" t="s">
        <v>61</v>
      </c>
      <c r="B195" s="20" t="s">
        <v>36</v>
      </c>
      <c r="C195" s="24" t="str">
        <f t="shared" ref="C195:C209" si="3">_xlfn.CONCAT(B195, " ", A195)</f>
        <v>VU Software Design</v>
      </c>
      <c r="D195" s="25"/>
      <c r="E195" s="26"/>
      <c r="F195" s="25" t="s">
        <v>19</v>
      </c>
      <c r="G195" s="25" t="s">
        <v>19</v>
      </c>
      <c r="H195" s="26"/>
      <c r="I195" s="25"/>
      <c r="J195" s="25"/>
      <c r="K195" s="25"/>
      <c r="L195" s="25" t="s">
        <v>19</v>
      </c>
      <c r="M195" s="26"/>
      <c r="N195" s="25" t="s">
        <v>19</v>
      </c>
      <c r="O195" s="25"/>
      <c r="P195" s="25"/>
      <c r="Q195" s="25"/>
      <c r="R195" s="25"/>
    </row>
    <row r="196" spans="1:18" ht="15" x14ac:dyDescent="0.2">
      <c r="A196" s="20" t="s">
        <v>204</v>
      </c>
      <c r="B196" s="20" t="s">
        <v>36</v>
      </c>
      <c r="C196" s="24" t="str">
        <f t="shared" si="3"/>
        <v>VU Web Technology</v>
      </c>
      <c r="D196" s="25"/>
      <c r="E196" s="25"/>
      <c r="F196" s="26"/>
      <c r="G196" s="25" t="s">
        <v>19</v>
      </c>
      <c r="H196" s="26"/>
      <c r="I196" s="25"/>
      <c r="J196" s="25"/>
      <c r="K196" s="25"/>
      <c r="L196" s="25"/>
      <c r="M196" s="25"/>
      <c r="N196" s="25"/>
      <c r="O196" s="25"/>
      <c r="P196" s="25"/>
      <c r="Q196" s="26"/>
      <c r="R196" s="25"/>
    </row>
    <row r="197" spans="1:18" ht="15" x14ac:dyDescent="0.2">
      <c r="A197" s="20" t="s">
        <v>71</v>
      </c>
      <c r="B197" s="20" t="s">
        <v>36</v>
      </c>
      <c r="C197" s="24" t="str">
        <f t="shared" si="3"/>
        <v>VU Digital Architecture</v>
      </c>
      <c r="D197" s="25" t="s">
        <v>19</v>
      </c>
      <c r="E197" s="25" t="s">
        <v>19</v>
      </c>
      <c r="F197" s="26"/>
      <c r="G197" s="25"/>
      <c r="H197" s="25"/>
      <c r="I197" s="25"/>
      <c r="J197" s="25" t="s">
        <v>19</v>
      </c>
      <c r="K197" s="25"/>
      <c r="L197" s="25"/>
      <c r="M197" s="25"/>
      <c r="N197" s="25" t="s">
        <v>19</v>
      </c>
      <c r="O197" s="25"/>
      <c r="P197" s="26"/>
      <c r="Q197" s="25"/>
      <c r="R197" s="25"/>
    </row>
    <row r="198" spans="1:18" ht="15" x14ac:dyDescent="0.2">
      <c r="A198" s="20" t="s">
        <v>205</v>
      </c>
      <c r="B198" s="20" t="s">
        <v>36</v>
      </c>
      <c r="C198" s="24" t="str">
        <f t="shared" si="3"/>
        <v>VU Fundamentals of Adaptive Software</v>
      </c>
      <c r="D198" s="26"/>
      <c r="E198" s="25" t="s">
        <v>19</v>
      </c>
      <c r="F198" s="26" t="s">
        <v>19</v>
      </c>
      <c r="G198" s="26"/>
      <c r="H198" s="25"/>
      <c r="I198" s="25"/>
      <c r="J198" s="25"/>
      <c r="K198" s="25"/>
      <c r="L198" s="25"/>
      <c r="M198" s="25"/>
      <c r="N198" s="26"/>
      <c r="O198" s="25"/>
      <c r="P198" s="25"/>
      <c r="Q198" s="25"/>
      <c r="R198" s="25"/>
    </row>
    <row r="199" spans="1:18" ht="15" x14ac:dyDescent="0.2">
      <c r="A199" s="20" t="s">
        <v>72</v>
      </c>
      <c r="B199" s="20" t="s">
        <v>36</v>
      </c>
      <c r="C199" s="24" t="str">
        <f t="shared" si="3"/>
        <v>VU Green Lab</v>
      </c>
      <c r="D199" s="25"/>
      <c r="E199" s="25"/>
      <c r="F199" s="25"/>
      <c r="G199" s="26"/>
      <c r="H199" s="26"/>
      <c r="I199" s="25"/>
      <c r="J199" s="25" t="s">
        <v>19</v>
      </c>
      <c r="K199" s="25"/>
      <c r="L199" s="25"/>
      <c r="M199" s="25"/>
      <c r="N199" s="25"/>
      <c r="O199" s="25"/>
      <c r="P199" s="25"/>
      <c r="Q199" s="25"/>
      <c r="R199" s="25"/>
    </row>
    <row r="200" spans="1:18" ht="15" x14ac:dyDescent="0.2">
      <c r="A200" s="20" t="s">
        <v>206</v>
      </c>
      <c r="B200" s="20" t="s">
        <v>36</v>
      </c>
      <c r="C200" s="24" t="str">
        <f t="shared" si="3"/>
        <v>VU Individual Systems Practical</v>
      </c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</row>
    <row r="201" spans="1:18" ht="15" x14ac:dyDescent="0.2">
      <c r="A201" s="20" t="s">
        <v>207</v>
      </c>
      <c r="B201" s="20" t="s">
        <v>36</v>
      </c>
      <c r="C201" s="24" t="str">
        <f t="shared" si="3"/>
        <v>VU Industrial Internship</v>
      </c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</row>
    <row r="202" spans="1:18" ht="15" x14ac:dyDescent="0.2">
      <c r="A202" s="20" t="s">
        <v>208</v>
      </c>
      <c r="B202" s="20" t="s">
        <v>36</v>
      </c>
      <c r="C202" s="24" t="str">
        <f t="shared" si="3"/>
        <v>VU Parallel Programming Practical</v>
      </c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</row>
    <row r="203" spans="1:18" ht="15" x14ac:dyDescent="0.2">
      <c r="A203" s="20" t="s">
        <v>209</v>
      </c>
      <c r="B203" s="20" t="s">
        <v>36</v>
      </c>
      <c r="C203" s="24" t="str">
        <f t="shared" si="3"/>
        <v>VU Programming Large-Scale Parallel Systems</v>
      </c>
      <c r="D203" s="25"/>
      <c r="E203" s="25"/>
      <c r="F203" s="25"/>
      <c r="G203" s="25" t="s">
        <v>19</v>
      </c>
      <c r="H203" s="25"/>
      <c r="I203" s="25"/>
      <c r="J203" s="25"/>
      <c r="K203" s="25"/>
      <c r="L203" s="25"/>
      <c r="M203" s="25"/>
      <c r="N203" s="25"/>
      <c r="O203" s="25"/>
      <c r="P203" s="25"/>
      <c r="Q203" s="26"/>
      <c r="R203" s="26"/>
    </row>
    <row r="204" spans="1:18" ht="15" x14ac:dyDescent="0.2">
      <c r="A204" s="20" t="s">
        <v>136</v>
      </c>
      <c r="B204" s="20" t="s">
        <v>36</v>
      </c>
      <c r="C204" s="24" t="str">
        <f t="shared" si="3"/>
        <v>VU Project Systems Testing</v>
      </c>
      <c r="D204" s="25"/>
      <c r="E204" s="25"/>
      <c r="F204" s="25"/>
      <c r="G204" s="25"/>
      <c r="H204" s="25" t="s">
        <v>19</v>
      </c>
      <c r="I204" s="25"/>
      <c r="J204" s="25"/>
      <c r="K204" s="25"/>
      <c r="L204" s="25"/>
      <c r="M204" s="25"/>
      <c r="N204" s="25"/>
      <c r="O204" s="25"/>
      <c r="P204" s="25"/>
      <c r="Q204" s="25"/>
      <c r="R204" s="25"/>
    </row>
    <row r="205" spans="1:18" ht="15" x14ac:dyDescent="0.2">
      <c r="A205" s="20" t="s">
        <v>62</v>
      </c>
      <c r="B205" s="20" t="s">
        <v>36</v>
      </c>
      <c r="C205" s="24" t="str">
        <f t="shared" si="3"/>
        <v>VU Service Oriented Design</v>
      </c>
      <c r="D205" s="25" t="s">
        <v>19</v>
      </c>
      <c r="E205" s="25" t="s">
        <v>19</v>
      </c>
      <c r="F205" s="26" t="s">
        <v>19</v>
      </c>
      <c r="G205" s="25"/>
      <c r="H205" s="25"/>
      <c r="I205" s="25"/>
      <c r="J205" s="25"/>
      <c r="K205" s="25"/>
      <c r="L205" s="25" t="s">
        <v>19</v>
      </c>
      <c r="M205" s="25"/>
      <c r="N205" s="25" t="s">
        <v>19</v>
      </c>
      <c r="O205" s="25"/>
      <c r="P205" s="25"/>
      <c r="Q205" s="25"/>
      <c r="R205" s="25"/>
    </row>
    <row r="206" spans="1:18" ht="15" x14ac:dyDescent="0.2">
      <c r="A206" s="20" t="s">
        <v>211</v>
      </c>
      <c r="B206" s="20" t="s">
        <v>36</v>
      </c>
      <c r="C206" s="24" t="str">
        <f t="shared" si="3"/>
        <v>VU Software Asset Management</v>
      </c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 t="s">
        <v>19</v>
      </c>
      <c r="Q206" s="25"/>
      <c r="R206" s="25"/>
    </row>
    <row r="207" spans="1:18" ht="15" x14ac:dyDescent="0.2">
      <c r="A207" s="20" t="s">
        <v>39</v>
      </c>
      <c r="B207" s="20" t="s">
        <v>36</v>
      </c>
      <c r="C207" s="24" t="str">
        <f t="shared" si="3"/>
        <v>VU Software Containerization</v>
      </c>
      <c r="D207" s="25"/>
      <c r="E207" s="25" t="s">
        <v>19</v>
      </c>
      <c r="F207" s="26" t="s">
        <v>19</v>
      </c>
      <c r="G207" s="26"/>
      <c r="H207" s="25"/>
      <c r="I207" s="25" t="s">
        <v>19</v>
      </c>
      <c r="J207" s="25" t="s">
        <v>19</v>
      </c>
      <c r="K207" s="25" t="s">
        <v>19</v>
      </c>
      <c r="L207" s="25"/>
      <c r="M207" s="25" t="s">
        <v>19</v>
      </c>
      <c r="N207" s="25"/>
      <c r="O207" s="25"/>
      <c r="P207" s="25"/>
      <c r="Q207" s="25"/>
      <c r="R207" s="25"/>
    </row>
    <row r="208" spans="1:18" ht="15" x14ac:dyDescent="0.2">
      <c r="A208" s="20" t="s">
        <v>138</v>
      </c>
      <c r="B208" s="20" t="s">
        <v>36</v>
      </c>
      <c r="C208" s="24" t="str">
        <f t="shared" si="3"/>
        <v>VU Software Testing</v>
      </c>
      <c r="D208" s="26"/>
      <c r="E208" s="25"/>
      <c r="F208" s="26"/>
      <c r="G208" s="25"/>
      <c r="H208" s="25" t="s">
        <v>19</v>
      </c>
      <c r="I208" s="26"/>
      <c r="J208" s="25"/>
      <c r="K208" s="25"/>
      <c r="L208" s="25"/>
      <c r="M208" s="26"/>
      <c r="N208" s="26"/>
      <c r="O208" s="25"/>
      <c r="P208" s="25"/>
      <c r="Q208" s="26" t="s">
        <v>19</v>
      </c>
      <c r="R208" s="25"/>
    </row>
    <row r="209" spans="1:18" ht="15" x14ac:dyDescent="0.15">
      <c r="A209" s="24"/>
      <c r="B209" s="24"/>
      <c r="C209" s="24" t="str">
        <f t="shared" si="3"/>
        <v xml:space="preserve"> </v>
      </c>
      <c r="D209" s="25">
        <v>20</v>
      </c>
      <c r="E209" s="25">
        <v>22</v>
      </c>
      <c r="F209" s="25">
        <v>24</v>
      </c>
      <c r="G209" s="25">
        <v>75</v>
      </c>
      <c r="H209" s="25">
        <v>19</v>
      </c>
      <c r="I209" s="25">
        <v>16</v>
      </c>
      <c r="J209" s="25">
        <v>19</v>
      </c>
      <c r="K209" s="25">
        <v>9</v>
      </c>
      <c r="L209" s="25">
        <v>23</v>
      </c>
      <c r="M209" s="25">
        <v>25</v>
      </c>
      <c r="N209" s="25">
        <v>28</v>
      </c>
      <c r="O209" s="25">
        <v>16</v>
      </c>
      <c r="P209" s="25">
        <v>9</v>
      </c>
      <c r="Q209" s="25">
        <v>29</v>
      </c>
      <c r="R209" s="25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999"/>
  <sheetViews>
    <sheetView tabSelected="1" workbookViewId="0">
      <pane ySplit="1" topLeftCell="A2" activePane="bottomLeft" state="frozen"/>
      <selection pane="bottomLeft" activeCell="AE214" sqref="AE214"/>
    </sheetView>
  </sheetViews>
  <sheetFormatPr baseColWidth="10" defaultColWidth="12.6640625" defaultRowHeight="15" customHeight="1" x14ac:dyDescent="0.15"/>
  <cols>
    <col min="1" max="1" width="43.6640625" customWidth="1"/>
    <col min="2" max="2" width="6.33203125" customWidth="1"/>
    <col min="3" max="3" width="13.83203125" style="29" customWidth="1"/>
    <col min="4" max="18" width="4.6640625" customWidth="1"/>
    <col min="19" max="19" width="12.1640625" customWidth="1"/>
    <col min="20" max="20" width="3.5" customWidth="1"/>
    <col min="21" max="33" width="3.5" bestFit="1" customWidth="1"/>
    <col min="34" max="34" width="5.33203125" bestFit="1" customWidth="1"/>
  </cols>
  <sheetData>
    <row r="1" spans="1:34" ht="162" x14ac:dyDescent="0.2">
      <c r="A1" s="1" t="s">
        <v>0</v>
      </c>
      <c r="B1" s="1" t="s">
        <v>1</v>
      </c>
      <c r="C1" s="6" t="s">
        <v>217</v>
      </c>
      <c r="D1" s="2" t="s">
        <v>2</v>
      </c>
      <c r="E1" s="2" t="s">
        <v>3</v>
      </c>
      <c r="F1" s="2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3" t="s">
        <v>16</v>
      </c>
      <c r="S1" s="1"/>
      <c r="T1" s="2" t="s">
        <v>2</v>
      </c>
      <c r="U1" s="2" t="s">
        <v>3</v>
      </c>
      <c r="V1" s="2" t="s">
        <v>4</v>
      </c>
      <c r="W1" s="3" t="s">
        <v>5</v>
      </c>
      <c r="X1" s="2" t="s">
        <v>6</v>
      </c>
      <c r="Y1" s="2" t="s">
        <v>7</v>
      </c>
      <c r="Z1" s="2" t="s">
        <v>8</v>
      </c>
      <c r="AA1" s="2" t="s">
        <v>9</v>
      </c>
      <c r="AB1" s="2" t="s">
        <v>10</v>
      </c>
      <c r="AC1" s="2" t="s">
        <v>11</v>
      </c>
      <c r="AD1" s="2" t="s">
        <v>12</v>
      </c>
      <c r="AE1" s="2" t="s">
        <v>13</v>
      </c>
      <c r="AF1" s="2" t="s">
        <v>14</v>
      </c>
      <c r="AG1" s="2" t="s">
        <v>15</v>
      </c>
      <c r="AH1" s="3" t="s">
        <v>16</v>
      </c>
    </row>
    <row r="2" spans="1:34" ht="15" customHeight="1" x14ac:dyDescent="0.2">
      <c r="A2" s="6" t="s">
        <v>73</v>
      </c>
      <c r="B2" s="8" t="s">
        <v>44</v>
      </c>
      <c r="C2" s="9" t="str">
        <f>_xlfn.CONCAT(B2, " ", A2)</f>
        <v xml:space="preserve">OU AppLab  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"/>
      <c r="T2" s="1" t="str">
        <f>IF(VLOOKUP($C2,Intermediate!$C$2:$R$208,2,FALSE)=D2, "", IF(D2="x","+", "-"))</f>
        <v/>
      </c>
      <c r="U2" s="1" t="str">
        <f>IF(VLOOKUP($C2,Intermediate!$C$2:$R$208,3,FALSE)=E2, "", IF(E2="x","+", "-"))</f>
        <v/>
      </c>
      <c r="V2" s="1" t="str">
        <f>IF(VLOOKUP($C2,Intermediate!$C$2:$R$208,4,FALSE)=F2, "", IF(F2="x","+", "-"))</f>
        <v/>
      </c>
      <c r="W2" s="1" t="str">
        <f>IF(VLOOKUP($C2,Intermediate!$C$2:$R$208,5,FALSE)=G2, "", IF(G2="x","+", "-"))</f>
        <v/>
      </c>
      <c r="X2" s="1" t="str">
        <f>IF(VLOOKUP($C2,Intermediate!$C$2:$R$208,6,FALSE)=H2, "", IF(H2="x","+", "-"))</f>
        <v/>
      </c>
      <c r="Y2" s="1" t="str">
        <f>IF(VLOOKUP($C2,Intermediate!$C$2:$R$208,7,FALSE)=I2, "", IF(I2="x","+", "-"))</f>
        <v/>
      </c>
      <c r="Z2" s="1" t="str">
        <f>IF(VLOOKUP($C2,Intermediate!$C$2:$R$208,8,FALSE)=J2, "", IF(J2="x","+", "-"))</f>
        <v/>
      </c>
      <c r="AA2" s="1" t="str">
        <f>IF(VLOOKUP($C2,Intermediate!$C$2:$R$208,9,FALSE)=K2, "", IF(K2="x","+", "-"))</f>
        <v/>
      </c>
      <c r="AB2" s="1" t="str">
        <f>IF(VLOOKUP($C2,Intermediate!$C$2:$R$208,10,FALSE)=L2, "", IF(L2="x","+", "-"))</f>
        <v/>
      </c>
      <c r="AC2" s="1" t="str">
        <f>IF(VLOOKUP($C2,Intermediate!$C$2:$R$208,11,FALSE)=M2, "", IF(M2="x","+", "-"))</f>
        <v/>
      </c>
      <c r="AD2" s="1" t="str">
        <f>IF(VLOOKUP($C2,Intermediate!$C$2:$R$208,12,FALSE)=N2, "", IF(N2="x","+", "-"))</f>
        <v/>
      </c>
      <c r="AE2" s="1" t="str">
        <f>IF(VLOOKUP($C2,Intermediate!$C$2:$R$208,13,FALSE)=O2, "", IF(O2="x","+", "-"))</f>
        <v/>
      </c>
      <c r="AF2" s="1" t="str">
        <f>IF(VLOOKUP($C2,Intermediate!$C$2:$R$208,14,FALSE)=P2, "", IF(P2="x","+", "-"))</f>
        <v/>
      </c>
      <c r="AG2" s="1" t="str">
        <f>IF(VLOOKUP($C2,Intermediate!$C$2:$R$208,15,FALSE)=Q2, "", IF(Q2="x","+", "-"))</f>
        <v/>
      </c>
      <c r="AH2" s="1" t="str">
        <f>IF(VLOOKUP($C2,Intermediate!$C$2:$R$208,16,FALSE)=R2, "", IF(R2="x","+", "-"))</f>
        <v/>
      </c>
    </row>
    <row r="3" spans="1:34" ht="15" customHeight="1" x14ac:dyDescent="0.2">
      <c r="A3" s="6" t="s">
        <v>74</v>
      </c>
      <c r="B3" s="8" t="s">
        <v>44</v>
      </c>
      <c r="C3" s="9" t="str">
        <f t="shared" ref="C3:C66" si="0">_xlfn.CONCAT(B3, " ", A3)</f>
        <v xml:space="preserve">OU Concepten van programmeertalen 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 t="s">
        <v>19</v>
      </c>
      <c r="S3" s="7"/>
      <c r="T3" s="1" t="str">
        <f>IF(VLOOKUP($C3,Intermediate!$C$2:$R$208,2,FALSE)=D3, "", IF(D3="x","+", "-"))</f>
        <v/>
      </c>
      <c r="U3" s="1" t="str">
        <f>IF(VLOOKUP($C3,Intermediate!$C$2:$R$208,3,FALSE)=E3, "", IF(E3="x","+", "-"))</f>
        <v/>
      </c>
      <c r="V3" s="1" t="str">
        <f>IF(VLOOKUP($C3,Intermediate!$C$2:$R$208,4,FALSE)=F3, "", IF(F3="x","+", "-"))</f>
        <v/>
      </c>
      <c r="W3" s="1" t="str">
        <f>IF(VLOOKUP($C3,Intermediate!$C$2:$R$208,5,FALSE)=G3, "", IF(G3="x","+", "-"))</f>
        <v/>
      </c>
      <c r="X3" s="1" t="str">
        <f>IF(VLOOKUP($C3,Intermediate!$C$2:$R$208,6,FALSE)=H3, "", IF(H3="x","+", "-"))</f>
        <v/>
      </c>
      <c r="Y3" s="1" t="str">
        <f>IF(VLOOKUP($C3,Intermediate!$C$2:$R$208,7,FALSE)=I3, "", IF(I3="x","+", "-"))</f>
        <v/>
      </c>
      <c r="Z3" s="1" t="str">
        <f>IF(VLOOKUP($C3,Intermediate!$C$2:$R$208,8,FALSE)=J3, "", IF(J3="x","+", "-"))</f>
        <v/>
      </c>
      <c r="AA3" s="1" t="str">
        <f>IF(VLOOKUP($C3,Intermediate!$C$2:$R$208,9,FALSE)=K3, "", IF(K3="x","+", "-"))</f>
        <v/>
      </c>
      <c r="AB3" s="1" t="str">
        <f>IF(VLOOKUP($C3,Intermediate!$C$2:$R$208,10,FALSE)=L3, "", IF(L3="x","+", "-"))</f>
        <v/>
      </c>
      <c r="AC3" s="1" t="str">
        <f>IF(VLOOKUP($C3,Intermediate!$C$2:$R$208,11,FALSE)=M3, "", IF(M3="x","+", "-"))</f>
        <v/>
      </c>
      <c r="AD3" s="1" t="str">
        <f>IF(VLOOKUP($C3,Intermediate!$C$2:$R$208,12,FALSE)=N3, "", IF(N3="x","+", "-"))</f>
        <v/>
      </c>
      <c r="AE3" s="1" t="str">
        <f>IF(VLOOKUP($C3,Intermediate!$C$2:$R$208,13,FALSE)=O3, "", IF(O3="x","+", "-"))</f>
        <v/>
      </c>
      <c r="AF3" s="1" t="str">
        <f>IF(VLOOKUP($C3,Intermediate!$C$2:$R$208,14,FALSE)=P3, "", IF(P3="x","+", "-"))</f>
        <v/>
      </c>
      <c r="AG3" s="1" t="str">
        <f>IF(VLOOKUP($C3,Intermediate!$C$2:$R$208,15,FALSE)=Q3, "", IF(Q3="x","+", "-"))</f>
        <v/>
      </c>
      <c r="AH3" s="1" t="str">
        <f>IF(VLOOKUP($C3,Intermediate!$C$2:$R$208,16,FALSE)=R3, "", IF(R3="x","+", "-"))</f>
        <v/>
      </c>
    </row>
    <row r="4" spans="1:34" ht="15" customHeight="1" x14ac:dyDescent="0.2">
      <c r="A4" s="6" t="s">
        <v>75</v>
      </c>
      <c r="B4" s="8" t="s">
        <v>44</v>
      </c>
      <c r="C4" s="9" t="str">
        <f t="shared" si="0"/>
        <v xml:space="preserve">OU Functioneel programmeren </v>
      </c>
      <c r="D4" s="5"/>
      <c r="E4" s="5"/>
      <c r="F4" s="5"/>
      <c r="G4" s="5" t="s">
        <v>19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1"/>
      <c r="T4" s="1" t="str">
        <f>IF(VLOOKUP($C4,Intermediate!$C$2:$R$208,2,FALSE)=D4, "", IF(D4="x","+", "-"))</f>
        <v/>
      </c>
      <c r="U4" s="1" t="str">
        <f>IF(VLOOKUP($C4,Intermediate!$C$2:$R$208,3,FALSE)=E4, "", IF(E4="x","+", "-"))</f>
        <v/>
      </c>
      <c r="V4" s="1" t="str">
        <f>IF(VLOOKUP($C4,Intermediate!$C$2:$R$208,4,FALSE)=F4, "", IF(F4="x","+", "-"))</f>
        <v/>
      </c>
      <c r="W4" s="1" t="str">
        <f>IF(VLOOKUP($C4,Intermediate!$C$2:$R$208,5,FALSE)=G4, "", IF(G4="x","+", "-"))</f>
        <v/>
      </c>
      <c r="X4" s="1" t="str">
        <f>IF(VLOOKUP($C4,Intermediate!$C$2:$R$208,6,FALSE)=H4, "", IF(H4="x","+", "-"))</f>
        <v/>
      </c>
      <c r="Y4" s="1" t="str">
        <f>IF(VLOOKUP($C4,Intermediate!$C$2:$R$208,7,FALSE)=I4, "", IF(I4="x","+", "-"))</f>
        <v/>
      </c>
      <c r="Z4" s="1" t="str">
        <f>IF(VLOOKUP($C4,Intermediate!$C$2:$R$208,8,FALSE)=J4, "", IF(J4="x","+", "-"))</f>
        <v/>
      </c>
      <c r="AA4" s="1" t="str">
        <f>IF(VLOOKUP($C4,Intermediate!$C$2:$R$208,9,FALSE)=K4, "", IF(K4="x","+", "-"))</f>
        <v/>
      </c>
      <c r="AB4" s="1" t="str">
        <f>IF(VLOOKUP($C4,Intermediate!$C$2:$R$208,10,FALSE)=L4, "", IF(L4="x","+", "-"))</f>
        <v/>
      </c>
      <c r="AC4" s="1" t="str">
        <f>IF(VLOOKUP($C4,Intermediate!$C$2:$R$208,11,FALSE)=M4, "", IF(M4="x","+", "-"))</f>
        <v/>
      </c>
      <c r="AD4" s="1" t="str">
        <f>IF(VLOOKUP($C4,Intermediate!$C$2:$R$208,12,FALSE)=N4, "", IF(N4="x","+", "-"))</f>
        <v/>
      </c>
      <c r="AE4" s="1" t="str">
        <f>IF(VLOOKUP($C4,Intermediate!$C$2:$R$208,13,FALSE)=O4, "", IF(O4="x","+", "-"))</f>
        <v/>
      </c>
      <c r="AF4" s="1" t="str">
        <f>IF(VLOOKUP($C4,Intermediate!$C$2:$R$208,14,FALSE)=P4, "", IF(P4="x","+", "-"))</f>
        <v/>
      </c>
      <c r="AG4" s="1" t="str">
        <f>IF(VLOOKUP($C4,Intermediate!$C$2:$R$208,15,FALSE)=Q4, "", IF(Q4="x","+", "-"))</f>
        <v/>
      </c>
      <c r="AH4" s="1" t="str">
        <f>IF(VLOOKUP($C4,Intermediate!$C$2:$R$208,16,FALSE)=R4, "", IF(R4="x","+", "-"))</f>
        <v/>
      </c>
    </row>
    <row r="5" spans="1:34" ht="15" customHeight="1" x14ac:dyDescent="0.2">
      <c r="A5" s="6" t="s">
        <v>76</v>
      </c>
      <c r="B5" s="8" t="s">
        <v>44</v>
      </c>
      <c r="C5" s="9" t="str">
        <f t="shared" si="0"/>
        <v xml:space="preserve">OU Geavanceerd objectgeoriënteerd programmeren </v>
      </c>
      <c r="D5" s="5"/>
      <c r="E5" s="5"/>
      <c r="F5" s="5" t="s">
        <v>19</v>
      </c>
      <c r="G5" s="5" t="s">
        <v>19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1"/>
      <c r="T5" s="1" t="str">
        <f>IF(VLOOKUP($C5,Intermediate!$C$2:$R$208,2,FALSE)=D5, "", IF(D5="x","+", "-"))</f>
        <v/>
      </c>
      <c r="U5" s="1" t="str">
        <f>IF(VLOOKUP($C5,Intermediate!$C$2:$R$208,3,FALSE)=E5, "", IF(E5="x","+", "-"))</f>
        <v/>
      </c>
      <c r="V5" s="1" t="str">
        <f>IF(VLOOKUP($C5,Intermediate!$C$2:$R$208,4,FALSE)=F5, "", IF(F5="x","+", "-"))</f>
        <v/>
      </c>
      <c r="W5" s="1" t="str">
        <f>IF(VLOOKUP($C5,Intermediate!$C$2:$R$208,5,FALSE)=G5, "", IF(G5="x","+", "-"))</f>
        <v/>
      </c>
      <c r="X5" s="1" t="str">
        <f>IF(VLOOKUP($C5,Intermediate!$C$2:$R$208,6,FALSE)=H5, "", IF(H5="x","+", "-"))</f>
        <v/>
      </c>
      <c r="Y5" s="1" t="str">
        <f>IF(VLOOKUP($C5,Intermediate!$C$2:$R$208,7,FALSE)=I5, "", IF(I5="x","+", "-"))</f>
        <v/>
      </c>
      <c r="Z5" s="1" t="str">
        <f>IF(VLOOKUP($C5,Intermediate!$C$2:$R$208,8,FALSE)=J5, "", IF(J5="x","+", "-"))</f>
        <v/>
      </c>
      <c r="AA5" s="1" t="str">
        <f>IF(VLOOKUP($C5,Intermediate!$C$2:$R$208,9,FALSE)=K5, "", IF(K5="x","+", "-"))</f>
        <v/>
      </c>
      <c r="AB5" s="1" t="str">
        <f>IF(VLOOKUP($C5,Intermediate!$C$2:$R$208,10,FALSE)=L5, "", IF(L5="x","+", "-"))</f>
        <v/>
      </c>
      <c r="AC5" s="1" t="str">
        <f>IF(VLOOKUP($C5,Intermediate!$C$2:$R$208,11,FALSE)=M5, "", IF(M5="x","+", "-"))</f>
        <v/>
      </c>
      <c r="AD5" s="1" t="str">
        <f>IF(VLOOKUP($C5,Intermediate!$C$2:$R$208,12,FALSE)=N5, "", IF(N5="x","+", "-"))</f>
        <v/>
      </c>
      <c r="AE5" s="1" t="str">
        <f>IF(VLOOKUP($C5,Intermediate!$C$2:$R$208,13,FALSE)=O5, "", IF(O5="x","+", "-"))</f>
        <v/>
      </c>
      <c r="AF5" s="1" t="str">
        <f>IF(VLOOKUP($C5,Intermediate!$C$2:$R$208,14,FALSE)=P5, "", IF(P5="x","+", "-"))</f>
        <v/>
      </c>
      <c r="AG5" s="1" t="str">
        <f>IF(VLOOKUP($C5,Intermediate!$C$2:$R$208,15,FALSE)=Q5, "", IF(Q5="x","+", "-"))</f>
        <v/>
      </c>
      <c r="AH5" s="1" t="str">
        <f>IF(VLOOKUP($C5,Intermediate!$C$2:$R$208,16,FALSE)=R5, "", IF(R5="x","+", "-"))</f>
        <v/>
      </c>
    </row>
    <row r="6" spans="1:34" ht="15" customHeight="1" x14ac:dyDescent="0.2">
      <c r="A6" s="6" t="s">
        <v>77</v>
      </c>
      <c r="B6" s="8" t="s">
        <v>44</v>
      </c>
      <c r="C6" s="9" t="str">
        <f t="shared" si="0"/>
        <v xml:space="preserve">OU Model-driven development </v>
      </c>
      <c r="D6" s="5"/>
      <c r="E6" s="5"/>
      <c r="F6" s="5" t="s">
        <v>19</v>
      </c>
      <c r="G6" s="5" t="s">
        <v>19</v>
      </c>
      <c r="H6" s="5"/>
      <c r="I6" s="5"/>
      <c r="J6" s="5"/>
      <c r="K6" s="5"/>
      <c r="L6" s="5"/>
      <c r="M6" s="5"/>
      <c r="N6" s="5" t="s">
        <v>19</v>
      </c>
      <c r="O6" s="5"/>
      <c r="P6" s="5"/>
      <c r="Q6" s="5"/>
      <c r="R6" s="5"/>
      <c r="S6" s="1"/>
      <c r="T6" s="1" t="str">
        <f>IF(VLOOKUP($C6,Intermediate!$C$2:$R$208,2,FALSE)=D6, "", IF(D6="x","+", "-"))</f>
        <v/>
      </c>
      <c r="U6" s="1" t="str">
        <f>IF(VLOOKUP($C6,Intermediate!$C$2:$R$208,3,FALSE)=E6, "", IF(E6="x","+", "-"))</f>
        <v/>
      </c>
      <c r="V6" s="1" t="str">
        <f>IF(VLOOKUP($C6,Intermediate!$C$2:$R$208,4,FALSE)=F6, "", IF(F6="x","+", "-"))</f>
        <v/>
      </c>
      <c r="W6" s="1" t="str">
        <f>IF(VLOOKUP($C6,Intermediate!$C$2:$R$208,5,FALSE)=G6, "", IF(G6="x","+", "-"))</f>
        <v/>
      </c>
      <c r="X6" s="1" t="str">
        <f>IF(VLOOKUP($C6,Intermediate!$C$2:$R$208,6,FALSE)=H6, "", IF(H6="x","+", "-"))</f>
        <v/>
      </c>
      <c r="Y6" s="1" t="str">
        <f>IF(VLOOKUP($C6,Intermediate!$C$2:$R$208,7,FALSE)=I6, "", IF(I6="x","+", "-"))</f>
        <v/>
      </c>
      <c r="Z6" s="1" t="str">
        <f>IF(VLOOKUP($C6,Intermediate!$C$2:$R$208,8,FALSE)=J6, "", IF(J6="x","+", "-"))</f>
        <v/>
      </c>
      <c r="AA6" s="1" t="str">
        <f>IF(VLOOKUP($C6,Intermediate!$C$2:$R$208,9,FALSE)=K6, "", IF(K6="x","+", "-"))</f>
        <v/>
      </c>
      <c r="AB6" s="1" t="str">
        <f>IF(VLOOKUP($C6,Intermediate!$C$2:$R$208,10,FALSE)=L6, "", IF(L6="x","+", "-"))</f>
        <v/>
      </c>
      <c r="AC6" s="1" t="str">
        <f>IF(VLOOKUP($C6,Intermediate!$C$2:$R$208,11,FALSE)=M6, "", IF(M6="x","+", "-"))</f>
        <v/>
      </c>
      <c r="AD6" s="1" t="str">
        <f>IF(VLOOKUP($C6,Intermediate!$C$2:$R$208,12,FALSE)=N6, "", IF(N6="x","+", "-"))</f>
        <v/>
      </c>
      <c r="AE6" s="1" t="str">
        <f>IF(VLOOKUP($C6,Intermediate!$C$2:$R$208,13,FALSE)=O6, "", IF(O6="x","+", "-"))</f>
        <v/>
      </c>
      <c r="AF6" s="1" t="str">
        <f>IF(VLOOKUP($C6,Intermediate!$C$2:$R$208,14,FALSE)=P6, "", IF(P6="x","+", "-"))</f>
        <v/>
      </c>
      <c r="AG6" s="1" t="str">
        <f>IF(VLOOKUP($C6,Intermediate!$C$2:$R$208,15,FALSE)=Q6, "", IF(Q6="x","+", "-"))</f>
        <v/>
      </c>
      <c r="AH6" s="1" t="str">
        <f>IF(VLOOKUP($C6,Intermediate!$C$2:$R$208,16,FALSE)=R6, "", IF(R6="x","+", "-"))</f>
        <v/>
      </c>
    </row>
    <row r="7" spans="1:34" ht="15" customHeight="1" x14ac:dyDescent="0.2">
      <c r="A7" s="1" t="s">
        <v>45</v>
      </c>
      <c r="B7" s="8" t="s">
        <v>44</v>
      </c>
      <c r="C7" s="9" t="str">
        <f t="shared" si="0"/>
        <v xml:space="preserve">OU Objectgeoriënteerd analyseren en ontwerpen </v>
      </c>
      <c r="D7" s="5" t="s">
        <v>19</v>
      </c>
      <c r="E7" s="5"/>
      <c r="F7" s="5" t="s">
        <v>19</v>
      </c>
      <c r="G7" s="5"/>
      <c r="H7" s="5"/>
      <c r="I7" s="5"/>
      <c r="J7" s="5"/>
      <c r="K7" s="5"/>
      <c r="L7" s="5"/>
      <c r="M7" s="5" t="s">
        <v>19</v>
      </c>
      <c r="N7" s="5" t="s">
        <v>19</v>
      </c>
      <c r="O7" s="5"/>
      <c r="P7" s="5"/>
      <c r="Q7" s="5"/>
      <c r="R7" s="5"/>
      <c r="S7" s="7"/>
      <c r="T7" s="1" t="str">
        <f>IF(VLOOKUP($C7,Intermediate!$C$2:$R$208,2,FALSE)=D7, "", IF(D7="x","+", "-"))</f>
        <v/>
      </c>
      <c r="U7" s="1" t="str">
        <f>IF(VLOOKUP($C7,Intermediate!$C$2:$R$208,3,FALSE)=E7, "", IF(E7="x","+", "-"))</f>
        <v/>
      </c>
      <c r="V7" s="1" t="str">
        <f>IF(VLOOKUP($C7,Intermediate!$C$2:$R$208,4,FALSE)=F7, "", IF(F7="x","+", "-"))</f>
        <v/>
      </c>
      <c r="W7" s="1" t="str">
        <f>IF(VLOOKUP($C7,Intermediate!$C$2:$R$208,5,FALSE)=G7, "", IF(G7="x","+", "-"))</f>
        <v/>
      </c>
      <c r="X7" s="1" t="str">
        <f>IF(VLOOKUP($C7,Intermediate!$C$2:$R$208,6,FALSE)=H7, "", IF(H7="x","+", "-"))</f>
        <v/>
      </c>
      <c r="Y7" s="1" t="str">
        <f>IF(VLOOKUP($C7,Intermediate!$C$2:$R$208,7,FALSE)=I7, "", IF(I7="x","+", "-"))</f>
        <v/>
      </c>
      <c r="Z7" s="1" t="str">
        <f>IF(VLOOKUP($C7,Intermediate!$C$2:$R$208,8,FALSE)=J7, "", IF(J7="x","+", "-"))</f>
        <v/>
      </c>
      <c r="AA7" s="1" t="str">
        <f>IF(VLOOKUP($C7,Intermediate!$C$2:$R$208,9,FALSE)=K7, "", IF(K7="x","+", "-"))</f>
        <v/>
      </c>
      <c r="AB7" s="1" t="str">
        <f>IF(VLOOKUP($C7,Intermediate!$C$2:$R$208,10,FALSE)=L7, "", IF(L7="x","+", "-"))</f>
        <v/>
      </c>
      <c r="AC7" s="1" t="str">
        <f>IF(VLOOKUP($C7,Intermediate!$C$2:$R$208,11,FALSE)=M7, "", IF(M7="x","+", "-"))</f>
        <v/>
      </c>
      <c r="AD7" s="1" t="str">
        <f>IF(VLOOKUP($C7,Intermediate!$C$2:$R$208,12,FALSE)=N7, "", IF(N7="x","+", "-"))</f>
        <v/>
      </c>
      <c r="AE7" s="1" t="str">
        <f>IF(VLOOKUP($C7,Intermediate!$C$2:$R$208,13,FALSE)=O7, "", IF(O7="x","+", "-"))</f>
        <v/>
      </c>
      <c r="AF7" s="1" t="str">
        <f>IF(VLOOKUP($C7,Intermediate!$C$2:$R$208,14,FALSE)=P7, "", IF(P7="x","+", "-"))</f>
        <v/>
      </c>
      <c r="AG7" s="1" t="str">
        <f>IF(VLOOKUP($C7,Intermediate!$C$2:$R$208,15,FALSE)=Q7, "", IF(Q7="x","+", "-"))</f>
        <v/>
      </c>
      <c r="AH7" s="1" t="str">
        <f>IF(VLOOKUP($C7,Intermediate!$C$2:$R$208,16,FALSE)=R7, "", IF(R7="x","+", "-"))</f>
        <v/>
      </c>
    </row>
    <row r="8" spans="1:34" ht="15" customHeight="1" x14ac:dyDescent="0.2">
      <c r="A8" s="6" t="s">
        <v>78</v>
      </c>
      <c r="B8" s="8" t="s">
        <v>44</v>
      </c>
      <c r="C8" s="9" t="str">
        <f t="shared" si="0"/>
        <v xml:space="preserve">OU Objectgeoriënteerd programmeren </v>
      </c>
      <c r="D8" s="5"/>
      <c r="E8" s="5"/>
      <c r="F8" s="5"/>
      <c r="G8" s="5" t="s">
        <v>19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7"/>
      <c r="T8" s="1" t="str">
        <f>IF(VLOOKUP($C8,Intermediate!$C$2:$R$208,2,FALSE)=D8, "", IF(D8="x","+", "-"))</f>
        <v/>
      </c>
      <c r="U8" s="1" t="str">
        <f>IF(VLOOKUP($C8,Intermediate!$C$2:$R$208,3,FALSE)=E8, "", IF(E8="x","+", "-"))</f>
        <v/>
      </c>
      <c r="V8" s="1" t="str">
        <f>IF(VLOOKUP($C8,Intermediate!$C$2:$R$208,4,FALSE)=F8, "", IF(F8="x","+", "-"))</f>
        <v/>
      </c>
      <c r="W8" s="1" t="str">
        <f>IF(VLOOKUP($C8,Intermediate!$C$2:$R$208,5,FALSE)=G8, "", IF(G8="x","+", "-"))</f>
        <v/>
      </c>
      <c r="X8" s="1" t="str">
        <f>IF(VLOOKUP($C8,Intermediate!$C$2:$R$208,6,FALSE)=H8, "", IF(H8="x","+", "-"))</f>
        <v/>
      </c>
      <c r="Y8" s="1" t="str">
        <f>IF(VLOOKUP($C8,Intermediate!$C$2:$R$208,7,FALSE)=I8, "", IF(I8="x","+", "-"))</f>
        <v/>
      </c>
      <c r="Z8" s="1" t="str">
        <f>IF(VLOOKUP($C8,Intermediate!$C$2:$R$208,8,FALSE)=J8, "", IF(J8="x","+", "-"))</f>
        <v/>
      </c>
      <c r="AA8" s="1" t="str">
        <f>IF(VLOOKUP($C8,Intermediate!$C$2:$R$208,9,FALSE)=K8, "", IF(K8="x","+", "-"))</f>
        <v/>
      </c>
      <c r="AB8" s="1" t="str">
        <f>IF(VLOOKUP($C8,Intermediate!$C$2:$R$208,10,FALSE)=L8, "", IF(L8="x","+", "-"))</f>
        <v/>
      </c>
      <c r="AC8" s="1" t="str">
        <f>IF(VLOOKUP($C8,Intermediate!$C$2:$R$208,11,FALSE)=M8, "", IF(M8="x","+", "-"))</f>
        <v/>
      </c>
      <c r="AD8" s="1" t="str">
        <f>IF(VLOOKUP($C8,Intermediate!$C$2:$R$208,12,FALSE)=N8, "", IF(N8="x","+", "-"))</f>
        <v/>
      </c>
      <c r="AE8" s="1" t="str">
        <f>IF(VLOOKUP($C8,Intermediate!$C$2:$R$208,13,FALSE)=O8, "", IF(O8="x","+", "-"))</f>
        <v/>
      </c>
      <c r="AF8" s="1" t="str">
        <f>IF(VLOOKUP($C8,Intermediate!$C$2:$R$208,14,FALSE)=P8, "", IF(P8="x","+", "-"))</f>
        <v/>
      </c>
      <c r="AG8" s="1" t="str">
        <f>IF(VLOOKUP($C8,Intermediate!$C$2:$R$208,15,FALSE)=Q8, "", IF(Q8="x","+", "-"))</f>
        <v/>
      </c>
      <c r="AH8" s="1" t="str">
        <f>IF(VLOOKUP($C8,Intermediate!$C$2:$R$208,16,FALSE)=R8, "", IF(R8="x","+", "-"))</f>
        <v/>
      </c>
    </row>
    <row r="9" spans="1:34" ht="15" customHeight="1" x14ac:dyDescent="0.2">
      <c r="A9" s="6" t="s">
        <v>79</v>
      </c>
      <c r="B9" s="8" t="s">
        <v>44</v>
      </c>
      <c r="C9" s="9" t="str">
        <f t="shared" si="0"/>
        <v xml:space="preserve">OU Practicum ontwerpen en implementeren 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7"/>
      <c r="T9" s="1" t="str">
        <f>IF(VLOOKUP($C9,Intermediate!$C$2:$R$208,2,FALSE)=D9, "", IF(D9="x","+", "-"))</f>
        <v/>
      </c>
      <c r="U9" s="1" t="str">
        <f>IF(VLOOKUP($C9,Intermediate!$C$2:$R$208,3,FALSE)=E9, "", IF(E9="x","+", "-"))</f>
        <v/>
      </c>
      <c r="V9" s="1" t="str">
        <f>IF(VLOOKUP($C9,Intermediate!$C$2:$R$208,4,FALSE)=F9, "", IF(F9="x","+", "-"))</f>
        <v/>
      </c>
      <c r="W9" s="1" t="str">
        <f>IF(VLOOKUP($C9,Intermediate!$C$2:$R$208,5,FALSE)=G9, "", IF(G9="x","+", "-"))</f>
        <v/>
      </c>
      <c r="X9" s="1" t="str">
        <f>IF(VLOOKUP($C9,Intermediate!$C$2:$R$208,6,FALSE)=H9, "", IF(H9="x","+", "-"))</f>
        <v/>
      </c>
      <c r="Y9" s="1" t="str">
        <f>IF(VLOOKUP($C9,Intermediate!$C$2:$R$208,7,FALSE)=I9, "", IF(I9="x","+", "-"))</f>
        <v/>
      </c>
      <c r="Z9" s="1" t="str">
        <f>IF(VLOOKUP($C9,Intermediate!$C$2:$R$208,8,FALSE)=J9, "", IF(J9="x","+", "-"))</f>
        <v/>
      </c>
      <c r="AA9" s="1" t="str">
        <f>IF(VLOOKUP($C9,Intermediate!$C$2:$R$208,9,FALSE)=K9, "", IF(K9="x","+", "-"))</f>
        <v/>
      </c>
      <c r="AB9" s="1" t="str">
        <f>IF(VLOOKUP($C9,Intermediate!$C$2:$R$208,10,FALSE)=L9, "", IF(L9="x","+", "-"))</f>
        <v/>
      </c>
      <c r="AC9" s="1" t="str">
        <f>IF(VLOOKUP($C9,Intermediate!$C$2:$R$208,11,FALSE)=M9, "", IF(M9="x","+", "-"))</f>
        <v/>
      </c>
      <c r="AD9" s="1" t="str">
        <f>IF(VLOOKUP($C9,Intermediate!$C$2:$R$208,12,FALSE)=N9, "", IF(N9="x","+", "-"))</f>
        <v/>
      </c>
      <c r="AE9" s="1" t="str">
        <f>IF(VLOOKUP($C9,Intermediate!$C$2:$R$208,13,FALSE)=O9, "", IF(O9="x","+", "-"))</f>
        <v/>
      </c>
      <c r="AF9" s="1" t="str">
        <f>IF(VLOOKUP($C9,Intermediate!$C$2:$R$208,14,FALSE)=P9, "", IF(P9="x","+", "-"))</f>
        <v/>
      </c>
      <c r="AG9" s="1" t="str">
        <f>IF(VLOOKUP($C9,Intermediate!$C$2:$R$208,15,FALSE)=Q9, "", IF(Q9="x","+", "-"))</f>
        <v/>
      </c>
      <c r="AH9" s="1" t="str">
        <f>IF(VLOOKUP($C9,Intermediate!$C$2:$R$208,16,FALSE)=R9, "", IF(R9="x","+", "-"))</f>
        <v/>
      </c>
    </row>
    <row r="10" spans="1:34" ht="15" customHeight="1" x14ac:dyDescent="0.2">
      <c r="A10" s="6" t="s">
        <v>80</v>
      </c>
      <c r="B10" s="8" t="s">
        <v>44</v>
      </c>
      <c r="C10" s="9" t="str">
        <f t="shared" si="0"/>
        <v xml:space="preserve">OU Software engineering 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1"/>
      <c r="T10" s="1" t="str">
        <f>IF(VLOOKUP($C10,Intermediate!$C$2:$R$208,2,FALSE)=D10, "", IF(D10="x","+", "-"))</f>
        <v/>
      </c>
      <c r="U10" s="1" t="str">
        <f>IF(VLOOKUP($C10,Intermediate!$C$2:$R$208,3,FALSE)=E10, "", IF(E10="x","+", "-"))</f>
        <v/>
      </c>
      <c r="V10" s="1" t="str">
        <f>IF(VLOOKUP($C10,Intermediate!$C$2:$R$208,4,FALSE)=F10, "", IF(F10="x","+", "-"))</f>
        <v/>
      </c>
      <c r="W10" s="1" t="str">
        <f>IF(VLOOKUP($C10,Intermediate!$C$2:$R$208,5,FALSE)=G10, "", IF(G10="x","+", "-"))</f>
        <v/>
      </c>
      <c r="X10" s="1" t="str">
        <f>IF(VLOOKUP($C10,Intermediate!$C$2:$R$208,6,FALSE)=H10, "", IF(H10="x","+", "-"))</f>
        <v/>
      </c>
      <c r="Y10" s="1" t="str">
        <f>IF(VLOOKUP($C10,Intermediate!$C$2:$R$208,7,FALSE)=I10, "", IF(I10="x","+", "-"))</f>
        <v/>
      </c>
      <c r="Z10" s="1" t="str">
        <f>IF(VLOOKUP($C10,Intermediate!$C$2:$R$208,8,FALSE)=J10, "", IF(J10="x","+", "-"))</f>
        <v/>
      </c>
      <c r="AA10" s="1" t="str">
        <f>IF(VLOOKUP($C10,Intermediate!$C$2:$R$208,9,FALSE)=K10, "", IF(K10="x","+", "-"))</f>
        <v/>
      </c>
      <c r="AB10" s="1" t="str">
        <f>IF(VLOOKUP($C10,Intermediate!$C$2:$R$208,10,FALSE)=L10, "", IF(L10="x","+", "-"))</f>
        <v/>
      </c>
      <c r="AC10" s="1" t="str">
        <f>IF(VLOOKUP($C10,Intermediate!$C$2:$R$208,11,FALSE)=M10, "", IF(M10="x","+", "-"))</f>
        <v/>
      </c>
      <c r="AD10" s="1" t="str">
        <f>IF(VLOOKUP($C10,Intermediate!$C$2:$R$208,12,FALSE)=N10, "", IF(N10="x","+", "-"))</f>
        <v/>
      </c>
      <c r="AE10" s="1" t="str">
        <f>IF(VLOOKUP($C10,Intermediate!$C$2:$R$208,13,FALSE)=O10, "", IF(O10="x","+", "-"))</f>
        <v/>
      </c>
      <c r="AF10" s="1" t="str">
        <f>IF(VLOOKUP($C10,Intermediate!$C$2:$R$208,14,FALSE)=P10, "", IF(P10="x","+", "-"))</f>
        <v/>
      </c>
      <c r="AG10" s="1" t="str">
        <f>IF(VLOOKUP($C10,Intermediate!$C$2:$R$208,15,FALSE)=Q10, "", IF(Q10="x","+", "-"))</f>
        <v/>
      </c>
      <c r="AH10" s="1" t="str">
        <f>IF(VLOOKUP($C10,Intermediate!$C$2:$R$208,16,FALSE)=R10, "", IF(R10="x","+", "-"))</f>
        <v/>
      </c>
    </row>
    <row r="11" spans="1:34" ht="15" customHeight="1" x14ac:dyDescent="0.2">
      <c r="A11" s="6" t="s">
        <v>65</v>
      </c>
      <c r="B11" s="8" t="s">
        <v>44</v>
      </c>
      <c r="C11" s="9" t="str">
        <f t="shared" si="0"/>
        <v xml:space="preserve">OU Software testen </v>
      </c>
      <c r="D11" s="5"/>
      <c r="E11" s="5"/>
      <c r="F11" s="5"/>
      <c r="G11" s="5"/>
      <c r="H11" s="5" t="s">
        <v>19</v>
      </c>
      <c r="I11" s="4" t="s">
        <v>19</v>
      </c>
      <c r="J11" s="5"/>
      <c r="K11" s="4" t="s">
        <v>19</v>
      </c>
      <c r="L11" s="5"/>
      <c r="M11" s="5"/>
      <c r="N11" s="5"/>
      <c r="O11" s="5"/>
      <c r="P11" s="5"/>
      <c r="Q11" s="5"/>
      <c r="R11" s="5"/>
      <c r="S11" s="1"/>
      <c r="T11" s="1" t="str">
        <f>IF(VLOOKUP($C11,Intermediate!$C$2:$R$208,2,FALSE)=D11, "", IF(D11="x","+", "-"))</f>
        <v/>
      </c>
      <c r="U11" s="1" t="str">
        <f>IF(VLOOKUP($C11,Intermediate!$C$2:$R$208,3,FALSE)=E11, "", IF(E11="x","+", "-"))</f>
        <v/>
      </c>
      <c r="V11" s="1" t="str">
        <f>IF(VLOOKUP($C11,Intermediate!$C$2:$R$208,4,FALSE)=F11, "", IF(F11="x","+", "-"))</f>
        <v/>
      </c>
      <c r="W11" s="1" t="str">
        <f>IF(VLOOKUP($C11,Intermediate!$C$2:$R$208,5,FALSE)=G11, "", IF(G11="x","+", "-"))</f>
        <v/>
      </c>
      <c r="X11" s="1" t="str">
        <f>IF(VLOOKUP($C11,Intermediate!$C$2:$R$208,6,FALSE)=H11, "", IF(H11="x","+", "-"))</f>
        <v/>
      </c>
      <c r="Y11" s="1" t="str">
        <f>IF(VLOOKUP($C11,Intermediate!$C$2:$R$208,7,FALSE)=I11, "", IF(I11="x","+", "-"))</f>
        <v/>
      </c>
      <c r="Z11" s="1" t="str">
        <f>IF(VLOOKUP($C11,Intermediate!$C$2:$R$208,8,FALSE)=J11, "", IF(J11="x","+", "-"))</f>
        <v/>
      </c>
      <c r="AA11" s="1" t="str">
        <f>IF(VLOOKUP($C11,Intermediate!$C$2:$R$208,9,FALSE)=K11, "", IF(K11="x","+", "-"))</f>
        <v/>
      </c>
      <c r="AB11" s="1" t="str">
        <f>IF(VLOOKUP($C11,Intermediate!$C$2:$R$208,10,FALSE)=L11, "", IF(L11="x","+", "-"))</f>
        <v/>
      </c>
      <c r="AC11" s="1" t="str">
        <f>IF(VLOOKUP($C11,Intermediate!$C$2:$R$208,11,FALSE)=M11, "", IF(M11="x","+", "-"))</f>
        <v/>
      </c>
      <c r="AD11" s="1" t="str">
        <f>IF(VLOOKUP($C11,Intermediate!$C$2:$R$208,12,FALSE)=N11, "", IF(N11="x","+", "-"))</f>
        <v/>
      </c>
      <c r="AE11" s="1" t="str">
        <f>IF(VLOOKUP($C11,Intermediate!$C$2:$R$208,13,FALSE)=O11, "", IF(O11="x","+", "-"))</f>
        <v/>
      </c>
      <c r="AF11" s="1" t="str">
        <f>IF(VLOOKUP($C11,Intermediate!$C$2:$R$208,14,FALSE)=P11, "", IF(P11="x","+", "-"))</f>
        <v/>
      </c>
      <c r="AG11" s="1" t="str">
        <f>IF(VLOOKUP($C11,Intermediate!$C$2:$R$208,15,FALSE)=Q11, "", IF(Q11="x","+", "-"))</f>
        <v/>
      </c>
      <c r="AH11" s="1" t="str">
        <f>IF(VLOOKUP($C11,Intermediate!$C$2:$R$208,16,FALSE)=R11, "", IF(R11="x","+", "-"))</f>
        <v/>
      </c>
    </row>
    <row r="12" spans="1:34" ht="15.75" customHeight="1" x14ac:dyDescent="0.2">
      <c r="A12" s="6" t="s">
        <v>82</v>
      </c>
      <c r="B12" s="8" t="s">
        <v>44</v>
      </c>
      <c r="C12" s="9" t="str">
        <f t="shared" si="0"/>
        <v xml:space="preserve">OU Design for change </v>
      </c>
      <c r="D12" s="5"/>
      <c r="E12" s="5"/>
      <c r="F12" s="5" t="s">
        <v>19</v>
      </c>
      <c r="G12" s="5" t="s">
        <v>19</v>
      </c>
      <c r="H12" s="5"/>
      <c r="I12" s="5"/>
      <c r="J12" s="5"/>
      <c r="K12" s="5"/>
      <c r="L12" s="5"/>
      <c r="M12" s="5"/>
      <c r="N12" s="5" t="s">
        <v>19</v>
      </c>
      <c r="O12" s="5"/>
      <c r="P12" s="5"/>
      <c r="Q12" s="5"/>
      <c r="R12" s="5"/>
      <c r="S12" s="1"/>
      <c r="T12" s="1" t="str">
        <f>IF(VLOOKUP($C12,Intermediate!$C$2:$R$208,2,FALSE)=D12, "", IF(D12="x","+", "-"))</f>
        <v/>
      </c>
      <c r="U12" s="1" t="str">
        <f>IF(VLOOKUP($C12,Intermediate!$C$2:$R$208,3,FALSE)=E12, "", IF(E12="x","+", "-"))</f>
        <v/>
      </c>
      <c r="V12" s="1" t="str">
        <f>IF(VLOOKUP($C12,Intermediate!$C$2:$R$208,4,FALSE)=F12, "", IF(F12="x","+", "-"))</f>
        <v/>
      </c>
      <c r="W12" s="1" t="str">
        <f>IF(VLOOKUP($C12,Intermediate!$C$2:$R$208,5,FALSE)=G12, "", IF(G12="x","+", "-"))</f>
        <v/>
      </c>
      <c r="X12" s="1" t="str">
        <f>IF(VLOOKUP($C12,Intermediate!$C$2:$R$208,6,FALSE)=H12, "", IF(H12="x","+", "-"))</f>
        <v/>
      </c>
      <c r="Y12" s="1" t="str">
        <f>IF(VLOOKUP($C12,Intermediate!$C$2:$R$208,7,FALSE)=I12, "", IF(I12="x","+", "-"))</f>
        <v/>
      </c>
      <c r="Z12" s="1" t="str">
        <f>IF(VLOOKUP($C12,Intermediate!$C$2:$R$208,8,FALSE)=J12, "", IF(J12="x","+", "-"))</f>
        <v/>
      </c>
      <c r="AA12" s="1" t="str">
        <f>IF(VLOOKUP($C12,Intermediate!$C$2:$R$208,9,FALSE)=K12, "", IF(K12="x","+", "-"))</f>
        <v/>
      </c>
      <c r="AB12" s="1" t="str">
        <f>IF(VLOOKUP($C12,Intermediate!$C$2:$R$208,10,FALSE)=L12, "", IF(L12="x","+", "-"))</f>
        <v/>
      </c>
      <c r="AC12" s="1" t="str">
        <f>IF(VLOOKUP($C12,Intermediate!$C$2:$R$208,11,FALSE)=M12, "", IF(M12="x","+", "-"))</f>
        <v/>
      </c>
      <c r="AD12" s="1" t="str">
        <f>IF(VLOOKUP($C12,Intermediate!$C$2:$R$208,12,FALSE)=N12, "", IF(N12="x","+", "-"))</f>
        <v/>
      </c>
      <c r="AE12" s="1" t="str">
        <f>IF(VLOOKUP($C12,Intermediate!$C$2:$R$208,13,FALSE)=O12, "", IF(O12="x","+", "-"))</f>
        <v/>
      </c>
      <c r="AF12" s="1" t="str">
        <f>IF(VLOOKUP($C12,Intermediate!$C$2:$R$208,14,FALSE)=P12, "", IF(P12="x","+", "-"))</f>
        <v/>
      </c>
      <c r="AG12" s="1" t="str">
        <f>IF(VLOOKUP($C12,Intermediate!$C$2:$R$208,15,FALSE)=Q12, "", IF(Q12="x","+", "-"))</f>
        <v/>
      </c>
      <c r="AH12" s="1" t="str">
        <f>IF(VLOOKUP($C12,Intermediate!$C$2:$R$208,16,FALSE)=R12, "", IF(R12="x","+", "-"))</f>
        <v/>
      </c>
    </row>
    <row r="13" spans="1:34" ht="15" customHeight="1" x14ac:dyDescent="0.2">
      <c r="A13" s="6" t="s">
        <v>83</v>
      </c>
      <c r="B13" s="8" t="s">
        <v>44</v>
      </c>
      <c r="C13" s="9" t="str">
        <f t="shared" si="0"/>
        <v xml:space="preserve">OU Software Architecture </v>
      </c>
      <c r="D13" s="5" t="s">
        <v>19</v>
      </c>
      <c r="E13" s="5" t="s">
        <v>19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1"/>
      <c r="T13" s="1" t="str">
        <f>IF(VLOOKUP($C13,Intermediate!$C$2:$R$208,2,FALSE)=D13, "", IF(D13="x","+", "-"))</f>
        <v/>
      </c>
      <c r="U13" s="1" t="str">
        <f>IF(VLOOKUP($C13,Intermediate!$C$2:$R$208,3,FALSE)=E13, "", IF(E13="x","+", "-"))</f>
        <v/>
      </c>
      <c r="V13" s="1" t="str">
        <f>IF(VLOOKUP($C13,Intermediate!$C$2:$R$208,4,FALSE)=F13, "", IF(F13="x","+", "-"))</f>
        <v/>
      </c>
      <c r="W13" s="1" t="str">
        <f>IF(VLOOKUP($C13,Intermediate!$C$2:$R$208,5,FALSE)=G13, "", IF(G13="x","+", "-"))</f>
        <v/>
      </c>
      <c r="X13" s="1" t="str">
        <f>IF(VLOOKUP($C13,Intermediate!$C$2:$R$208,6,FALSE)=H13, "", IF(H13="x","+", "-"))</f>
        <v/>
      </c>
      <c r="Y13" s="1" t="str">
        <f>IF(VLOOKUP($C13,Intermediate!$C$2:$R$208,7,FALSE)=I13, "", IF(I13="x","+", "-"))</f>
        <v/>
      </c>
      <c r="Z13" s="1" t="str">
        <f>IF(VLOOKUP($C13,Intermediate!$C$2:$R$208,8,FALSE)=J13, "", IF(J13="x","+", "-"))</f>
        <v/>
      </c>
      <c r="AA13" s="1" t="str">
        <f>IF(VLOOKUP($C13,Intermediate!$C$2:$R$208,9,FALSE)=K13, "", IF(K13="x","+", "-"))</f>
        <v/>
      </c>
      <c r="AB13" s="1" t="str">
        <f>IF(VLOOKUP($C13,Intermediate!$C$2:$R$208,10,FALSE)=L13, "", IF(L13="x","+", "-"))</f>
        <v/>
      </c>
      <c r="AC13" s="1" t="str">
        <f>IF(VLOOKUP($C13,Intermediate!$C$2:$R$208,11,FALSE)=M13, "", IF(M13="x","+", "-"))</f>
        <v/>
      </c>
      <c r="AD13" s="1" t="str">
        <f>IF(VLOOKUP($C13,Intermediate!$C$2:$R$208,12,FALSE)=N13, "", IF(N13="x","+", "-"))</f>
        <v/>
      </c>
      <c r="AE13" s="1" t="str">
        <f>IF(VLOOKUP($C13,Intermediate!$C$2:$R$208,13,FALSE)=O13, "", IF(O13="x","+", "-"))</f>
        <v/>
      </c>
      <c r="AF13" s="1" t="str">
        <f>IF(VLOOKUP($C13,Intermediate!$C$2:$R$208,14,FALSE)=P13, "", IF(P13="x","+", "-"))</f>
        <v/>
      </c>
      <c r="AG13" s="1" t="str">
        <f>IF(VLOOKUP($C13,Intermediate!$C$2:$R$208,15,FALSE)=Q13, "", IF(Q13="x","+", "-"))</f>
        <v/>
      </c>
      <c r="AH13" s="1" t="str">
        <f>IF(VLOOKUP($C13,Intermediate!$C$2:$R$208,16,FALSE)=R13, "", IF(R13="x","+", "-"))</f>
        <v/>
      </c>
    </row>
    <row r="14" spans="1:34" ht="15" customHeight="1" x14ac:dyDescent="0.2">
      <c r="A14" s="6" t="s">
        <v>43</v>
      </c>
      <c r="B14" s="8" t="s">
        <v>44</v>
      </c>
      <c r="C14" s="9" t="str">
        <f t="shared" si="0"/>
        <v xml:space="preserve">OU Software quality management </v>
      </c>
      <c r="D14" s="5"/>
      <c r="E14" s="5"/>
      <c r="F14" s="5"/>
      <c r="G14" s="5" t="s">
        <v>19</v>
      </c>
      <c r="H14" s="5"/>
      <c r="I14" s="5"/>
      <c r="J14" s="5" t="s">
        <v>19</v>
      </c>
      <c r="K14" s="5"/>
      <c r="L14" s="5"/>
      <c r="M14" s="15" t="s">
        <v>19</v>
      </c>
      <c r="N14" s="5"/>
      <c r="O14" s="5"/>
      <c r="P14" s="5"/>
      <c r="Q14" s="5"/>
      <c r="R14" s="5"/>
      <c r="S14" s="1"/>
      <c r="T14" s="1" t="str">
        <f>IF(VLOOKUP($C14,Intermediate!$C$2:$R$208,2,FALSE)=D14, "", IF(D14="x","+", "-"))</f>
        <v/>
      </c>
      <c r="U14" s="1" t="str">
        <f>IF(VLOOKUP($C14,Intermediate!$C$2:$R$208,3,FALSE)=E14, "", IF(E14="x","+", "-"))</f>
        <v/>
      </c>
      <c r="V14" s="1" t="str">
        <f>IF(VLOOKUP($C14,Intermediate!$C$2:$R$208,4,FALSE)=F14, "", IF(F14="x","+", "-"))</f>
        <v/>
      </c>
      <c r="W14" s="1" t="str">
        <f>IF(VLOOKUP($C14,Intermediate!$C$2:$R$208,5,FALSE)=G14, "", IF(G14="x","+", "-"))</f>
        <v/>
      </c>
      <c r="X14" s="1" t="str">
        <f>IF(VLOOKUP($C14,Intermediate!$C$2:$R$208,6,FALSE)=H14, "", IF(H14="x","+", "-"))</f>
        <v/>
      </c>
      <c r="Y14" s="1" t="str">
        <f>IF(VLOOKUP($C14,Intermediate!$C$2:$R$208,7,FALSE)=I14, "", IF(I14="x","+", "-"))</f>
        <v/>
      </c>
      <c r="Z14" s="1" t="str">
        <f>IF(VLOOKUP($C14,Intermediate!$C$2:$R$208,8,FALSE)=J14, "", IF(J14="x","+", "-"))</f>
        <v/>
      </c>
      <c r="AA14" s="1" t="str">
        <f>IF(VLOOKUP($C14,Intermediate!$C$2:$R$208,9,FALSE)=K14, "", IF(K14="x","+", "-"))</f>
        <v/>
      </c>
      <c r="AB14" s="1" t="str">
        <f>IF(VLOOKUP($C14,Intermediate!$C$2:$R$208,10,FALSE)=L14, "", IF(L14="x","+", "-"))</f>
        <v/>
      </c>
      <c r="AC14" s="1" t="str">
        <f>IF(VLOOKUP($C14,Intermediate!$C$2:$R$208,11,FALSE)=M14, "", IF(M14="x","+", "-"))</f>
        <v/>
      </c>
      <c r="AD14" s="1" t="str">
        <f>IF(VLOOKUP($C14,Intermediate!$C$2:$R$208,12,FALSE)=N14, "", IF(N14="x","+", "-"))</f>
        <v/>
      </c>
      <c r="AE14" s="1" t="str">
        <f>IF(VLOOKUP($C14,Intermediate!$C$2:$R$208,13,FALSE)=O14, "", IF(O14="x","+", "-"))</f>
        <v/>
      </c>
      <c r="AF14" s="1" t="str">
        <f>IF(VLOOKUP($C14,Intermediate!$C$2:$R$208,14,FALSE)=P14, "", IF(P14="x","+", "-"))</f>
        <v/>
      </c>
      <c r="AG14" s="1" t="str">
        <f>IF(VLOOKUP($C14,Intermediate!$C$2:$R$208,15,FALSE)=Q14, "", IF(Q14="x","+", "-"))</f>
        <v/>
      </c>
      <c r="AH14" s="1" t="str">
        <f>IF(VLOOKUP($C14,Intermediate!$C$2:$R$208,16,FALSE)=R14, "", IF(R14="x","+", "-"))</f>
        <v/>
      </c>
    </row>
    <row r="15" spans="1:34" ht="15" customHeight="1" x14ac:dyDescent="0.2">
      <c r="A15" s="6" t="s">
        <v>84</v>
      </c>
      <c r="B15" s="8" t="s">
        <v>44</v>
      </c>
      <c r="C15" s="9" t="str">
        <f t="shared" si="0"/>
        <v xml:space="preserve">OU Software security 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 t="s">
        <v>19</v>
      </c>
      <c r="P15" s="5"/>
      <c r="Q15" s="5"/>
      <c r="R15" s="5"/>
      <c r="S15" s="1"/>
      <c r="T15" s="1" t="str">
        <f>IF(VLOOKUP($C15,Intermediate!$C$2:$R$208,2,FALSE)=D15, "", IF(D15="x","+", "-"))</f>
        <v/>
      </c>
      <c r="U15" s="1" t="str">
        <f>IF(VLOOKUP($C15,Intermediate!$C$2:$R$208,3,FALSE)=E15, "", IF(E15="x","+", "-"))</f>
        <v/>
      </c>
      <c r="V15" s="1" t="str">
        <f>IF(VLOOKUP($C15,Intermediate!$C$2:$R$208,4,FALSE)=F15, "", IF(F15="x","+", "-"))</f>
        <v/>
      </c>
      <c r="W15" s="1" t="str">
        <f>IF(VLOOKUP($C15,Intermediate!$C$2:$R$208,5,FALSE)=G15, "", IF(G15="x","+", "-"))</f>
        <v/>
      </c>
      <c r="X15" s="1" t="str">
        <f>IF(VLOOKUP($C15,Intermediate!$C$2:$R$208,6,FALSE)=H15, "", IF(H15="x","+", "-"))</f>
        <v/>
      </c>
      <c r="Y15" s="1" t="str">
        <f>IF(VLOOKUP($C15,Intermediate!$C$2:$R$208,7,FALSE)=I15, "", IF(I15="x","+", "-"))</f>
        <v/>
      </c>
      <c r="Z15" s="1" t="str">
        <f>IF(VLOOKUP($C15,Intermediate!$C$2:$R$208,8,FALSE)=J15, "", IF(J15="x","+", "-"))</f>
        <v/>
      </c>
      <c r="AA15" s="1" t="str">
        <f>IF(VLOOKUP($C15,Intermediate!$C$2:$R$208,9,FALSE)=K15, "", IF(K15="x","+", "-"))</f>
        <v/>
      </c>
      <c r="AB15" s="1" t="str">
        <f>IF(VLOOKUP($C15,Intermediate!$C$2:$R$208,10,FALSE)=L15, "", IF(L15="x","+", "-"))</f>
        <v/>
      </c>
      <c r="AC15" s="1" t="str">
        <f>IF(VLOOKUP($C15,Intermediate!$C$2:$R$208,11,FALSE)=M15, "", IF(M15="x","+", "-"))</f>
        <v/>
      </c>
      <c r="AD15" s="1" t="str">
        <f>IF(VLOOKUP($C15,Intermediate!$C$2:$R$208,12,FALSE)=N15, "", IF(N15="x","+", "-"))</f>
        <v/>
      </c>
      <c r="AE15" s="1" t="str">
        <f>IF(VLOOKUP($C15,Intermediate!$C$2:$R$208,13,FALSE)=O15, "", IF(O15="x","+", "-"))</f>
        <v/>
      </c>
      <c r="AF15" s="1" t="str">
        <f>IF(VLOOKUP($C15,Intermediate!$C$2:$R$208,14,FALSE)=P15, "", IF(P15="x","+", "-"))</f>
        <v/>
      </c>
      <c r="AG15" s="1" t="str">
        <f>IF(VLOOKUP($C15,Intermediate!$C$2:$R$208,15,FALSE)=Q15, "", IF(Q15="x","+", "-"))</f>
        <v/>
      </c>
      <c r="AH15" s="1" t="str">
        <f>IF(VLOOKUP($C15,Intermediate!$C$2:$R$208,16,FALSE)=R15, "", IF(R15="x","+", "-"))</f>
        <v/>
      </c>
    </row>
    <row r="16" spans="1:34" ht="12" customHeight="1" x14ac:dyDescent="0.2">
      <c r="A16" s="6" t="s">
        <v>81</v>
      </c>
      <c r="B16" s="8" t="s">
        <v>44</v>
      </c>
      <c r="C16" s="9" t="str">
        <f t="shared" si="0"/>
        <v xml:space="preserve">OU System verification and testing </v>
      </c>
      <c r="D16" s="5"/>
      <c r="E16" s="5"/>
      <c r="F16" s="5"/>
      <c r="G16" s="5"/>
      <c r="H16" s="5" t="s">
        <v>19</v>
      </c>
      <c r="I16" s="5"/>
      <c r="J16" s="5"/>
      <c r="K16" s="5"/>
      <c r="L16" s="5"/>
      <c r="M16" s="5"/>
      <c r="N16" s="5"/>
      <c r="O16" s="5"/>
      <c r="P16" s="5"/>
      <c r="Q16" s="5" t="s">
        <v>19</v>
      </c>
      <c r="R16" s="5"/>
      <c r="S16" s="1"/>
      <c r="T16" s="1" t="str">
        <f>IF(VLOOKUP($C16,Intermediate!$C$2:$R$208,2,FALSE)=D16, "", IF(D16="x","+", "-"))</f>
        <v/>
      </c>
      <c r="U16" s="1" t="str">
        <f>IF(VLOOKUP($C16,Intermediate!$C$2:$R$208,3,FALSE)=E16, "", IF(E16="x","+", "-"))</f>
        <v/>
      </c>
      <c r="V16" s="1" t="str">
        <f>IF(VLOOKUP($C16,Intermediate!$C$2:$R$208,4,FALSE)=F16, "", IF(F16="x","+", "-"))</f>
        <v/>
      </c>
      <c r="W16" s="1" t="str">
        <f>IF(VLOOKUP($C16,Intermediate!$C$2:$R$208,5,FALSE)=G16, "", IF(G16="x","+", "-"))</f>
        <v/>
      </c>
      <c r="X16" s="1" t="str">
        <f>IF(VLOOKUP($C16,Intermediate!$C$2:$R$208,6,FALSE)=H16, "", IF(H16="x","+", "-"))</f>
        <v/>
      </c>
      <c r="Y16" s="1" t="str">
        <f>IF(VLOOKUP($C16,Intermediate!$C$2:$R$208,7,FALSE)=I16, "", IF(I16="x","+", "-"))</f>
        <v/>
      </c>
      <c r="Z16" s="1" t="str">
        <f>IF(VLOOKUP($C16,Intermediate!$C$2:$R$208,8,FALSE)=J16, "", IF(J16="x","+", "-"))</f>
        <v/>
      </c>
      <c r="AA16" s="1" t="str">
        <f>IF(VLOOKUP($C16,Intermediate!$C$2:$R$208,9,FALSE)=K16, "", IF(K16="x","+", "-"))</f>
        <v/>
      </c>
      <c r="AB16" s="1" t="str">
        <f>IF(VLOOKUP($C16,Intermediate!$C$2:$R$208,10,FALSE)=L16, "", IF(L16="x","+", "-"))</f>
        <v/>
      </c>
      <c r="AC16" s="1" t="str">
        <f>IF(VLOOKUP($C16,Intermediate!$C$2:$R$208,11,FALSE)=M16, "", IF(M16="x","+", "-"))</f>
        <v/>
      </c>
      <c r="AD16" s="1" t="str">
        <f>IF(VLOOKUP($C16,Intermediate!$C$2:$R$208,12,FALSE)=N16, "", IF(N16="x","+", "-"))</f>
        <v/>
      </c>
      <c r="AE16" s="1" t="str">
        <f>IF(VLOOKUP($C16,Intermediate!$C$2:$R$208,13,FALSE)=O16, "", IF(O16="x","+", "-"))</f>
        <v/>
      </c>
      <c r="AF16" s="1" t="str">
        <f>IF(VLOOKUP($C16,Intermediate!$C$2:$R$208,14,FALSE)=P16, "", IF(P16="x","+", "-"))</f>
        <v/>
      </c>
      <c r="AG16" s="1" t="str">
        <f>IF(VLOOKUP($C16,Intermediate!$C$2:$R$208,15,FALSE)=Q16, "", IF(Q16="x","+", "-"))</f>
        <v/>
      </c>
      <c r="AH16" s="1" t="str">
        <f>IF(VLOOKUP($C16,Intermediate!$C$2:$R$208,16,FALSE)=R16, "", IF(R16="x","+", "-"))</f>
        <v/>
      </c>
    </row>
    <row r="17" spans="1:34" ht="15" customHeight="1" x14ac:dyDescent="0.2">
      <c r="A17" s="8" t="s">
        <v>86</v>
      </c>
      <c r="B17" s="8" t="s">
        <v>29</v>
      </c>
      <c r="C17" s="9" t="str">
        <f t="shared" si="0"/>
        <v>RU Functional Programming</v>
      </c>
      <c r="D17" s="5"/>
      <c r="E17" s="5"/>
      <c r="F17" s="5"/>
      <c r="G17" s="5" t="s">
        <v>19</v>
      </c>
      <c r="H17" s="5"/>
      <c r="I17" s="5"/>
      <c r="J17" s="5"/>
      <c r="K17" s="5"/>
      <c r="L17" s="5"/>
      <c r="M17" s="5"/>
      <c r="N17" s="5" t="s">
        <v>19</v>
      </c>
      <c r="O17" s="5"/>
      <c r="P17" s="5"/>
      <c r="Q17" s="5"/>
      <c r="R17" s="5"/>
      <c r="S17" s="1"/>
      <c r="T17" s="1" t="str">
        <f>IF(VLOOKUP($C17,Intermediate!$C$2:$R$208,2,FALSE)=D17, "", IF(D17="x","+", "-"))</f>
        <v/>
      </c>
      <c r="U17" s="1" t="str">
        <f>IF(VLOOKUP($C17,Intermediate!$C$2:$R$208,3,FALSE)=E17, "", IF(E17="x","+", "-"))</f>
        <v/>
      </c>
      <c r="V17" s="1" t="str">
        <f>IF(VLOOKUP($C17,Intermediate!$C$2:$R$208,4,FALSE)=F17, "", IF(F17="x","+", "-"))</f>
        <v/>
      </c>
      <c r="W17" s="1" t="str">
        <f>IF(VLOOKUP($C17,Intermediate!$C$2:$R$208,5,FALSE)=G17, "", IF(G17="x","+", "-"))</f>
        <v/>
      </c>
      <c r="X17" s="1" t="str">
        <f>IF(VLOOKUP($C17,Intermediate!$C$2:$R$208,6,FALSE)=H17, "", IF(H17="x","+", "-"))</f>
        <v/>
      </c>
      <c r="Y17" s="1" t="str">
        <f>IF(VLOOKUP($C17,Intermediate!$C$2:$R$208,7,FALSE)=I17, "", IF(I17="x","+", "-"))</f>
        <v/>
      </c>
      <c r="Z17" s="1" t="str">
        <f>IF(VLOOKUP($C17,Intermediate!$C$2:$R$208,8,FALSE)=J17, "", IF(J17="x","+", "-"))</f>
        <v/>
      </c>
      <c r="AA17" s="1" t="str">
        <f>IF(VLOOKUP($C17,Intermediate!$C$2:$R$208,9,FALSE)=K17, "", IF(K17="x","+", "-"))</f>
        <v/>
      </c>
      <c r="AB17" s="1" t="str">
        <f>IF(VLOOKUP($C17,Intermediate!$C$2:$R$208,10,FALSE)=L17, "", IF(L17="x","+", "-"))</f>
        <v/>
      </c>
      <c r="AC17" s="1" t="str">
        <f>IF(VLOOKUP($C17,Intermediate!$C$2:$R$208,11,FALSE)=M17, "", IF(M17="x","+", "-"))</f>
        <v/>
      </c>
      <c r="AD17" s="1" t="str">
        <f>IF(VLOOKUP($C17,Intermediate!$C$2:$R$208,12,FALSE)=N17, "", IF(N17="x","+", "-"))</f>
        <v/>
      </c>
      <c r="AE17" s="1" t="str">
        <f>IF(VLOOKUP($C17,Intermediate!$C$2:$R$208,13,FALSE)=O17, "", IF(O17="x","+", "-"))</f>
        <v/>
      </c>
      <c r="AF17" s="1" t="str">
        <f>IF(VLOOKUP($C17,Intermediate!$C$2:$R$208,14,FALSE)=P17, "", IF(P17="x","+", "-"))</f>
        <v/>
      </c>
      <c r="AG17" s="1" t="str">
        <f>IF(VLOOKUP($C17,Intermediate!$C$2:$R$208,15,FALSE)=Q17, "", IF(Q17="x","+", "-"))</f>
        <v/>
      </c>
      <c r="AH17" s="1" t="str">
        <f>IF(VLOOKUP($C17,Intermediate!$C$2:$R$208,16,FALSE)=R17, "", IF(R17="x","+", "-"))</f>
        <v/>
      </c>
    </row>
    <row r="18" spans="1:34" ht="15" customHeight="1" x14ac:dyDescent="0.2">
      <c r="A18" s="8" t="s">
        <v>92</v>
      </c>
      <c r="B18" s="8" t="s">
        <v>29</v>
      </c>
      <c r="C18" s="9" t="str">
        <f t="shared" si="0"/>
        <v>RU Imperative Programming</v>
      </c>
      <c r="D18" s="5"/>
      <c r="E18" s="5"/>
      <c r="F18" s="5"/>
      <c r="G18" s="5" t="s">
        <v>19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1"/>
      <c r="T18" s="1" t="str">
        <f>IF(VLOOKUP($C18,Intermediate!$C$2:$R$208,2,FALSE)=D18, "", IF(D18="x","+", "-"))</f>
        <v/>
      </c>
      <c r="U18" s="1" t="str">
        <f>IF(VLOOKUP($C18,Intermediate!$C$2:$R$208,3,FALSE)=E18, "", IF(E18="x","+", "-"))</f>
        <v/>
      </c>
      <c r="V18" s="1" t="str">
        <f>IF(VLOOKUP($C18,Intermediate!$C$2:$R$208,4,FALSE)=F18, "", IF(F18="x","+", "-"))</f>
        <v/>
      </c>
      <c r="W18" s="1" t="str">
        <f>IF(VLOOKUP($C18,Intermediate!$C$2:$R$208,5,FALSE)=G18, "", IF(G18="x","+", "-"))</f>
        <v/>
      </c>
      <c r="X18" s="1" t="str">
        <f>IF(VLOOKUP($C18,Intermediate!$C$2:$R$208,6,FALSE)=H18, "", IF(H18="x","+", "-"))</f>
        <v/>
      </c>
      <c r="Y18" s="1" t="str">
        <f>IF(VLOOKUP($C18,Intermediate!$C$2:$R$208,7,FALSE)=I18, "", IF(I18="x","+", "-"))</f>
        <v/>
      </c>
      <c r="Z18" s="1" t="str">
        <f>IF(VLOOKUP($C18,Intermediate!$C$2:$R$208,8,FALSE)=J18, "", IF(J18="x","+", "-"))</f>
        <v/>
      </c>
      <c r="AA18" s="1" t="str">
        <f>IF(VLOOKUP($C18,Intermediate!$C$2:$R$208,9,FALSE)=K18, "", IF(K18="x","+", "-"))</f>
        <v/>
      </c>
      <c r="AB18" s="1" t="str">
        <f>IF(VLOOKUP($C18,Intermediate!$C$2:$R$208,10,FALSE)=L18, "", IF(L18="x","+", "-"))</f>
        <v/>
      </c>
      <c r="AC18" s="1" t="str">
        <f>IF(VLOOKUP($C18,Intermediate!$C$2:$R$208,11,FALSE)=M18, "", IF(M18="x","+", "-"))</f>
        <v/>
      </c>
      <c r="AD18" s="1" t="str">
        <f>IF(VLOOKUP($C18,Intermediate!$C$2:$R$208,12,FALSE)=N18, "", IF(N18="x","+", "-"))</f>
        <v/>
      </c>
      <c r="AE18" s="1" t="str">
        <f>IF(VLOOKUP($C18,Intermediate!$C$2:$R$208,13,FALSE)=O18, "", IF(O18="x","+", "-"))</f>
        <v/>
      </c>
      <c r="AF18" s="1" t="str">
        <f>IF(VLOOKUP($C18,Intermediate!$C$2:$R$208,14,FALSE)=P18, "", IF(P18="x","+", "-"))</f>
        <v/>
      </c>
      <c r="AG18" s="1" t="str">
        <f>IF(VLOOKUP($C18,Intermediate!$C$2:$R$208,15,FALSE)=Q18, "", IF(Q18="x","+", "-"))</f>
        <v/>
      </c>
      <c r="AH18" s="1" t="str">
        <f>IF(VLOOKUP($C18,Intermediate!$C$2:$R$208,16,FALSE)=R18, "", IF(R18="x","+", "-"))</f>
        <v/>
      </c>
    </row>
    <row r="19" spans="1:34" ht="15" customHeight="1" x14ac:dyDescent="0.2">
      <c r="A19" s="8" t="s">
        <v>87</v>
      </c>
      <c r="B19" s="8" t="s">
        <v>29</v>
      </c>
      <c r="C19" s="9" t="str">
        <f t="shared" si="0"/>
        <v>RU Object Oriented Programming</v>
      </c>
      <c r="D19" s="5"/>
      <c r="E19" s="5"/>
      <c r="F19" s="5" t="s">
        <v>19</v>
      </c>
      <c r="G19" s="5" t="s">
        <v>19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1"/>
      <c r="T19" s="1" t="str">
        <f>IF(VLOOKUP($C19,Intermediate!$C$2:$R$208,2,FALSE)=D19, "", IF(D19="x","+", "-"))</f>
        <v/>
      </c>
      <c r="U19" s="1" t="str">
        <f>IF(VLOOKUP($C19,Intermediate!$C$2:$R$208,3,FALSE)=E19, "", IF(E19="x","+", "-"))</f>
        <v/>
      </c>
      <c r="V19" s="1" t="str">
        <f>IF(VLOOKUP($C19,Intermediate!$C$2:$R$208,4,FALSE)=F19, "", IF(F19="x","+", "-"))</f>
        <v/>
      </c>
      <c r="W19" s="1" t="str">
        <f>IF(VLOOKUP($C19,Intermediate!$C$2:$R$208,5,FALSE)=G19, "", IF(G19="x","+", "-"))</f>
        <v/>
      </c>
      <c r="X19" s="1" t="str">
        <f>IF(VLOOKUP($C19,Intermediate!$C$2:$R$208,6,FALSE)=H19, "", IF(H19="x","+", "-"))</f>
        <v/>
      </c>
      <c r="Y19" s="1" t="str">
        <f>IF(VLOOKUP($C19,Intermediate!$C$2:$R$208,7,FALSE)=I19, "", IF(I19="x","+", "-"))</f>
        <v/>
      </c>
      <c r="Z19" s="1" t="str">
        <f>IF(VLOOKUP($C19,Intermediate!$C$2:$R$208,8,FALSE)=J19, "", IF(J19="x","+", "-"))</f>
        <v/>
      </c>
      <c r="AA19" s="1" t="str">
        <f>IF(VLOOKUP($C19,Intermediate!$C$2:$R$208,9,FALSE)=K19, "", IF(K19="x","+", "-"))</f>
        <v/>
      </c>
      <c r="AB19" s="1" t="str">
        <f>IF(VLOOKUP($C19,Intermediate!$C$2:$R$208,10,FALSE)=L19, "", IF(L19="x","+", "-"))</f>
        <v/>
      </c>
      <c r="AC19" s="1" t="str">
        <f>IF(VLOOKUP($C19,Intermediate!$C$2:$R$208,11,FALSE)=M19, "", IF(M19="x","+", "-"))</f>
        <v/>
      </c>
      <c r="AD19" s="1" t="str">
        <f>IF(VLOOKUP($C19,Intermediate!$C$2:$R$208,12,FALSE)=N19, "", IF(N19="x","+", "-"))</f>
        <v/>
      </c>
      <c r="AE19" s="1" t="str">
        <f>IF(VLOOKUP($C19,Intermediate!$C$2:$R$208,13,FALSE)=O19, "", IF(O19="x","+", "-"))</f>
        <v/>
      </c>
      <c r="AF19" s="1" t="str">
        <f>IF(VLOOKUP($C19,Intermediate!$C$2:$R$208,14,FALSE)=P19, "", IF(P19="x","+", "-"))</f>
        <v/>
      </c>
      <c r="AG19" s="1" t="str">
        <f>IF(VLOOKUP($C19,Intermediate!$C$2:$R$208,15,FALSE)=Q19, "", IF(Q19="x","+", "-"))</f>
        <v/>
      </c>
      <c r="AH19" s="1" t="str">
        <f>IF(VLOOKUP($C19,Intermediate!$C$2:$R$208,16,FALSE)=R19, "", IF(R19="x","+", "-"))</f>
        <v/>
      </c>
    </row>
    <row r="20" spans="1:34" ht="15" customHeight="1" x14ac:dyDescent="0.2">
      <c r="A20" s="8" t="s">
        <v>55</v>
      </c>
      <c r="B20" s="8" t="s">
        <v>29</v>
      </c>
      <c r="C20" s="9" t="str">
        <f t="shared" si="0"/>
        <v>RU Requirements Engineering and design</v>
      </c>
      <c r="D20" s="5" t="s">
        <v>19</v>
      </c>
      <c r="E20" s="5"/>
      <c r="F20" s="5"/>
      <c r="G20" s="5"/>
      <c r="H20" s="5"/>
      <c r="I20" s="5"/>
      <c r="J20" s="5"/>
      <c r="K20" s="5"/>
      <c r="L20" s="5" t="s">
        <v>19</v>
      </c>
      <c r="M20" s="5"/>
      <c r="N20" s="5"/>
      <c r="O20" s="5"/>
      <c r="P20" s="5"/>
      <c r="Q20" s="5"/>
      <c r="R20" s="5"/>
      <c r="S20" s="7"/>
      <c r="T20" s="1" t="str">
        <f>IF(VLOOKUP($C20,Intermediate!$C$2:$R$208,2,FALSE)=D20, "", IF(D20="x","+", "-"))</f>
        <v/>
      </c>
      <c r="U20" s="1" t="str">
        <f>IF(VLOOKUP($C20,Intermediate!$C$2:$R$208,3,FALSE)=E20, "", IF(E20="x","+", "-"))</f>
        <v/>
      </c>
      <c r="V20" s="1" t="str">
        <f>IF(VLOOKUP($C20,Intermediate!$C$2:$R$208,4,FALSE)=F20, "", IF(F20="x","+", "-"))</f>
        <v/>
      </c>
      <c r="W20" s="1" t="str">
        <f>IF(VLOOKUP($C20,Intermediate!$C$2:$R$208,5,FALSE)=G20, "", IF(G20="x","+", "-"))</f>
        <v/>
      </c>
      <c r="X20" s="1" t="str">
        <f>IF(VLOOKUP($C20,Intermediate!$C$2:$R$208,6,FALSE)=H20, "", IF(H20="x","+", "-"))</f>
        <v/>
      </c>
      <c r="Y20" s="1" t="str">
        <f>IF(VLOOKUP($C20,Intermediate!$C$2:$R$208,7,FALSE)=I20, "", IF(I20="x","+", "-"))</f>
        <v/>
      </c>
      <c r="Z20" s="1" t="str">
        <f>IF(VLOOKUP($C20,Intermediate!$C$2:$R$208,8,FALSE)=J20, "", IF(J20="x","+", "-"))</f>
        <v/>
      </c>
      <c r="AA20" s="1" t="str">
        <f>IF(VLOOKUP($C20,Intermediate!$C$2:$R$208,9,FALSE)=K20, "", IF(K20="x","+", "-"))</f>
        <v/>
      </c>
      <c r="AB20" s="1" t="str">
        <f>IF(VLOOKUP($C20,Intermediate!$C$2:$R$208,10,FALSE)=L20, "", IF(L20="x","+", "-"))</f>
        <v/>
      </c>
      <c r="AC20" s="1" t="str">
        <f>IF(VLOOKUP($C20,Intermediate!$C$2:$R$208,11,FALSE)=M20, "", IF(M20="x","+", "-"))</f>
        <v/>
      </c>
      <c r="AD20" s="1" t="str">
        <f>IF(VLOOKUP($C20,Intermediate!$C$2:$R$208,12,FALSE)=N20, "", IF(N20="x","+", "-"))</f>
        <v/>
      </c>
      <c r="AE20" s="1" t="str">
        <f>IF(VLOOKUP($C20,Intermediate!$C$2:$R$208,13,FALSE)=O20, "", IF(O20="x","+", "-"))</f>
        <v/>
      </c>
      <c r="AF20" s="1" t="str">
        <f>IF(VLOOKUP($C20,Intermediate!$C$2:$R$208,14,FALSE)=P20, "", IF(P20="x","+", "-"))</f>
        <v/>
      </c>
      <c r="AG20" s="1" t="str">
        <f>IF(VLOOKUP($C20,Intermediate!$C$2:$R$208,15,FALSE)=Q20, "", IF(Q20="x","+", "-"))</f>
        <v/>
      </c>
      <c r="AH20" s="1" t="str">
        <f>IF(VLOOKUP($C20,Intermediate!$C$2:$R$208,16,FALSE)=R20, "", IF(R20="x","+", "-"))</f>
        <v/>
      </c>
    </row>
    <row r="21" spans="1:34" ht="15" customHeight="1" x14ac:dyDescent="0.2">
      <c r="A21" s="8" t="s">
        <v>88</v>
      </c>
      <c r="B21" s="8" t="s">
        <v>29</v>
      </c>
      <c r="C21" s="9" t="str">
        <f t="shared" si="0"/>
        <v>RU Research &amp; Development project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7"/>
      <c r="T21" s="1" t="str">
        <f>IF(VLOOKUP($C21,Intermediate!$C$2:$R$208,2,FALSE)=D21, "", IF(D21="x","+", "-"))</f>
        <v/>
      </c>
      <c r="U21" s="1" t="str">
        <f>IF(VLOOKUP($C21,Intermediate!$C$2:$R$208,3,FALSE)=E21, "", IF(E21="x","+", "-"))</f>
        <v/>
      </c>
      <c r="V21" s="1" t="str">
        <f>IF(VLOOKUP($C21,Intermediate!$C$2:$R$208,4,FALSE)=F21, "", IF(F21="x","+", "-"))</f>
        <v/>
      </c>
      <c r="W21" s="1" t="str">
        <f>IF(VLOOKUP($C21,Intermediate!$C$2:$R$208,5,FALSE)=G21, "", IF(G21="x","+", "-"))</f>
        <v/>
      </c>
      <c r="X21" s="1" t="str">
        <f>IF(VLOOKUP($C21,Intermediate!$C$2:$R$208,6,FALSE)=H21, "", IF(H21="x","+", "-"))</f>
        <v/>
      </c>
      <c r="Y21" s="1" t="str">
        <f>IF(VLOOKUP($C21,Intermediate!$C$2:$R$208,7,FALSE)=I21, "", IF(I21="x","+", "-"))</f>
        <v/>
      </c>
      <c r="Z21" s="1" t="str">
        <f>IF(VLOOKUP($C21,Intermediate!$C$2:$R$208,8,FALSE)=J21, "", IF(J21="x","+", "-"))</f>
        <v/>
      </c>
      <c r="AA21" s="1" t="str">
        <f>IF(VLOOKUP($C21,Intermediate!$C$2:$R$208,9,FALSE)=K21, "", IF(K21="x","+", "-"))</f>
        <v/>
      </c>
      <c r="AB21" s="1" t="str">
        <f>IF(VLOOKUP($C21,Intermediate!$C$2:$R$208,10,FALSE)=L21, "", IF(L21="x","+", "-"))</f>
        <v/>
      </c>
      <c r="AC21" s="1" t="str">
        <f>IF(VLOOKUP($C21,Intermediate!$C$2:$R$208,11,FALSE)=M21, "", IF(M21="x","+", "-"))</f>
        <v/>
      </c>
      <c r="AD21" s="1" t="str">
        <f>IF(VLOOKUP($C21,Intermediate!$C$2:$R$208,12,FALSE)=N21, "", IF(N21="x","+", "-"))</f>
        <v/>
      </c>
      <c r="AE21" s="1" t="str">
        <f>IF(VLOOKUP($C21,Intermediate!$C$2:$R$208,13,FALSE)=O21, "", IF(O21="x","+", "-"))</f>
        <v/>
      </c>
      <c r="AF21" s="1" t="str">
        <f>IF(VLOOKUP($C21,Intermediate!$C$2:$R$208,14,FALSE)=P21, "", IF(P21="x","+", "-"))</f>
        <v/>
      </c>
      <c r="AG21" s="1" t="str">
        <f>IF(VLOOKUP($C21,Intermediate!$C$2:$R$208,15,FALSE)=Q21, "", IF(Q21="x","+", "-"))</f>
        <v/>
      </c>
      <c r="AH21" s="1" t="str">
        <f>IF(VLOOKUP($C21,Intermediate!$C$2:$R$208,16,FALSE)=R21, "", IF(R21="x","+", "-"))</f>
        <v/>
      </c>
    </row>
    <row r="22" spans="1:34" ht="15" customHeight="1" x14ac:dyDescent="0.2">
      <c r="A22" s="8" t="s">
        <v>89</v>
      </c>
      <c r="B22" s="8" t="s">
        <v>29</v>
      </c>
      <c r="C22" s="9" t="str">
        <f t="shared" si="0"/>
        <v>RU Semantics and Rewriting</v>
      </c>
      <c r="D22" s="5"/>
      <c r="E22" s="5"/>
      <c r="F22" s="5"/>
      <c r="G22" s="5"/>
      <c r="H22" s="12"/>
      <c r="I22" s="5"/>
      <c r="J22" s="5"/>
      <c r="K22" s="5"/>
      <c r="L22" s="5"/>
      <c r="M22" s="5"/>
      <c r="N22" s="5"/>
      <c r="O22" s="5"/>
      <c r="P22" s="5"/>
      <c r="Q22" s="5"/>
      <c r="R22" s="5" t="s">
        <v>19</v>
      </c>
      <c r="S22" s="7"/>
      <c r="T22" s="1" t="str">
        <f>IF(VLOOKUP($C22,Intermediate!$C$2:$R$208,2,FALSE)=D22, "", IF(D22="x","+", "-"))</f>
        <v/>
      </c>
      <c r="U22" s="1" t="str">
        <f>IF(VLOOKUP($C22,Intermediate!$C$2:$R$208,3,FALSE)=E22, "", IF(E22="x","+", "-"))</f>
        <v/>
      </c>
      <c r="V22" s="1" t="str">
        <f>IF(VLOOKUP($C22,Intermediate!$C$2:$R$208,4,FALSE)=F22, "", IF(F22="x","+", "-"))</f>
        <v/>
      </c>
      <c r="W22" s="1" t="str">
        <f>IF(VLOOKUP($C22,Intermediate!$C$2:$R$208,5,FALSE)=G22, "", IF(G22="x","+", "-"))</f>
        <v/>
      </c>
      <c r="X22" s="1" t="str">
        <f>IF(VLOOKUP($C22,Intermediate!$C$2:$R$208,6,FALSE)=H22, "", IF(H22="x","+", "-"))</f>
        <v/>
      </c>
      <c r="Y22" s="1" t="str">
        <f>IF(VLOOKUP($C22,Intermediate!$C$2:$R$208,7,FALSE)=I22, "", IF(I22="x","+", "-"))</f>
        <v/>
      </c>
      <c r="Z22" s="1" t="str">
        <f>IF(VLOOKUP($C22,Intermediate!$C$2:$R$208,8,FALSE)=J22, "", IF(J22="x","+", "-"))</f>
        <v/>
      </c>
      <c r="AA22" s="1" t="str">
        <f>IF(VLOOKUP($C22,Intermediate!$C$2:$R$208,9,FALSE)=K22, "", IF(K22="x","+", "-"))</f>
        <v/>
      </c>
      <c r="AB22" s="1" t="str">
        <f>IF(VLOOKUP($C22,Intermediate!$C$2:$R$208,10,FALSE)=L22, "", IF(L22="x","+", "-"))</f>
        <v/>
      </c>
      <c r="AC22" s="1" t="str">
        <f>IF(VLOOKUP($C22,Intermediate!$C$2:$R$208,11,FALSE)=M22, "", IF(M22="x","+", "-"))</f>
        <v/>
      </c>
      <c r="AD22" s="1" t="str">
        <f>IF(VLOOKUP($C22,Intermediate!$C$2:$R$208,12,FALSE)=N22, "", IF(N22="x","+", "-"))</f>
        <v/>
      </c>
      <c r="AE22" s="1" t="str">
        <f>IF(VLOOKUP($C22,Intermediate!$C$2:$R$208,13,FALSE)=O22, "", IF(O22="x","+", "-"))</f>
        <v/>
      </c>
      <c r="AF22" s="1" t="str">
        <f>IF(VLOOKUP($C22,Intermediate!$C$2:$R$208,14,FALSE)=P22, "", IF(P22="x","+", "-"))</f>
        <v/>
      </c>
      <c r="AG22" s="1" t="str">
        <f>IF(VLOOKUP($C22,Intermediate!$C$2:$R$208,15,FALSE)=Q22, "", IF(Q22="x","+", "-"))</f>
        <v/>
      </c>
      <c r="AH22" s="1" t="str">
        <f>IF(VLOOKUP($C22,Intermediate!$C$2:$R$208,16,FALSE)=R22, "", IF(R22="x","+", "-"))</f>
        <v/>
      </c>
    </row>
    <row r="23" spans="1:34" ht="15" customHeight="1" x14ac:dyDescent="0.2">
      <c r="A23" s="8" t="s">
        <v>90</v>
      </c>
      <c r="B23" s="8" t="s">
        <v>29</v>
      </c>
      <c r="C23" s="9" t="str">
        <f t="shared" si="0"/>
        <v>RU Software Engineering</v>
      </c>
      <c r="D23" s="5"/>
      <c r="E23" s="5"/>
      <c r="F23" s="5"/>
      <c r="G23" s="5"/>
      <c r="H23" s="4"/>
      <c r="I23" s="5"/>
      <c r="J23" s="5"/>
      <c r="K23" s="5"/>
      <c r="L23" s="5"/>
      <c r="M23" s="5"/>
      <c r="N23" s="5"/>
      <c r="O23" s="5"/>
      <c r="P23" s="5"/>
      <c r="Q23" s="5"/>
      <c r="R23" s="5"/>
      <c r="S23" s="7"/>
      <c r="T23" s="1" t="str">
        <f>IF(VLOOKUP($C23,Intermediate!$C$2:$R$208,2,FALSE)=D23, "", IF(D23="x","+", "-"))</f>
        <v/>
      </c>
      <c r="U23" s="1" t="str">
        <f>IF(VLOOKUP($C23,Intermediate!$C$2:$R$208,3,FALSE)=E23, "", IF(E23="x","+", "-"))</f>
        <v/>
      </c>
      <c r="V23" s="1" t="str">
        <f>IF(VLOOKUP($C23,Intermediate!$C$2:$R$208,4,FALSE)=F23, "", IF(F23="x","+", "-"))</f>
        <v/>
      </c>
      <c r="W23" s="1" t="str">
        <f>IF(VLOOKUP($C23,Intermediate!$C$2:$R$208,5,FALSE)=G23, "", IF(G23="x","+", "-"))</f>
        <v/>
      </c>
      <c r="X23" s="1" t="str">
        <f>IF(VLOOKUP($C23,Intermediate!$C$2:$R$208,6,FALSE)=H23, "", IF(H23="x","+", "-"))</f>
        <v/>
      </c>
      <c r="Y23" s="1" t="str">
        <f>IF(VLOOKUP($C23,Intermediate!$C$2:$R$208,7,FALSE)=I23, "", IF(I23="x","+", "-"))</f>
        <v/>
      </c>
      <c r="Z23" s="1" t="str">
        <f>IF(VLOOKUP($C23,Intermediate!$C$2:$R$208,8,FALSE)=J23, "", IF(J23="x","+", "-"))</f>
        <v/>
      </c>
      <c r="AA23" s="1" t="str">
        <f>IF(VLOOKUP($C23,Intermediate!$C$2:$R$208,9,FALSE)=K23, "", IF(K23="x","+", "-"))</f>
        <v/>
      </c>
      <c r="AB23" s="1" t="str">
        <f>IF(VLOOKUP($C23,Intermediate!$C$2:$R$208,10,FALSE)=L23, "", IF(L23="x","+", "-"))</f>
        <v/>
      </c>
      <c r="AC23" s="1" t="str">
        <f>IF(VLOOKUP($C23,Intermediate!$C$2:$R$208,11,FALSE)=M23, "", IF(M23="x","+", "-"))</f>
        <v/>
      </c>
      <c r="AD23" s="1" t="str">
        <f>IF(VLOOKUP($C23,Intermediate!$C$2:$R$208,12,FALSE)=N23, "", IF(N23="x","+", "-"))</f>
        <v/>
      </c>
      <c r="AE23" s="1" t="str">
        <f>IF(VLOOKUP($C23,Intermediate!$C$2:$R$208,13,FALSE)=O23, "", IF(O23="x","+", "-"))</f>
        <v/>
      </c>
      <c r="AF23" s="1" t="str">
        <f>IF(VLOOKUP($C23,Intermediate!$C$2:$R$208,14,FALSE)=P23, "", IF(P23="x","+", "-"))</f>
        <v/>
      </c>
      <c r="AG23" s="1" t="str">
        <f>IF(VLOOKUP($C23,Intermediate!$C$2:$R$208,15,FALSE)=Q23, "", IF(Q23="x","+", "-"))</f>
        <v/>
      </c>
      <c r="AH23" s="1" t="str">
        <f>IF(VLOOKUP($C23,Intermediate!$C$2:$R$208,16,FALSE)=R23, "", IF(R23="x","+", "-"))</f>
        <v/>
      </c>
    </row>
    <row r="24" spans="1:34" ht="15" customHeight="1" x14ac:dyDescent="0.2">
      <c r="A24" s="8" t="s">
        <v>91</v>
      </c>
      <c r="B24" s="8" t="s">
        <v>29</v>
      </c>
      <c r="C24" s="9" t="str">
        <f t="shared" si="0"/>
        <v>RU Software Verification</v>
      </c>
      <c r="D24" s="5"/>
      <c r="E24" s="5"/>
      <c r="F24" s="5"/>
      <c r="G24" s="5"/>
      <c r="H24" s="5" t="s">
        <v>19</v>
      </c>
      <c r="I24" s="5"/>
      <c r="J24" s="5"/>
      <c r="K24" s="5"/>
      <c r="L24" s="5"/>
      <c r="M24" s="5"/>
      <c r="N24" s="5" t="s">
        <v>19</v>
      </c>
      <c r="O24" s="5"/>
      <c r="P24" s="5"/>
      <c r="Q24" s="5" t="s">
        <v>19</v>
      </c>
      <c r="R24" s="5"/>
      <c r="S24" s="1"/>
      <c r="T24" s="1" t="str">
        <f>IF(VLOOKUP($C24,Intermediate!$C$2:$R$208,2,FALSE)=D24, "", IF(D24="x","+", "-"))</f>
        <v/>
      </c>
      <c r="U24" s="1" t="str">
        <f>IF(VLOOKUP($C24,Intermediate!$C$2:$R$208,3,FALSE)=E24, "", IF(E24="x","+", "-"))</f>
        <v/>
      </c>
      <c r="V24" s="1" t="str">
        <f>IF(VLOOKUP($C24,Intermediate!$C$2:$R$208,4,FALSE)=F24, "", IF(F24="x","+", "-"))</f>
        <v/>
      </c>
      <c r="W24" s="1" t="str">
        <f>IF(VLOOKUP($C24,Intermediate!$C$2:$R$208,5,FALSE)=G24, "", IF(G24="x","+", "-"))</f>
        <v/>
      </c>
      <c r="X24" s="1" t="str">
        <f>IF(VLOOKUP($C24,Intermediate!$C$2:$R$208,6,FALSE)=H24, "", IF(H24="x","+", "-"))</f>
        <v/>
      </c>
      <c r="Y24" s="1" t="str">
        <f>IF(VLOOKUP($C24,Intermediate!$C$2:$R$208,7,FALSE)=I24, "", IF(I24="x","+", "-"))</f>
        <v/>
      </c>
      <c r="Z24" s="1" t="str">
        <f>IF(VLOOKUP($C24,Intermediate!$C$2:$R$208,8,FALSE)=J24, "", IF(J24="x","+", "-"))</f>
        <v/>
      </c>
      <c r="AA24" s="1" t="str">
        <f>IF(VLOOKUP($C24,Intermediate!$C$2:$R$208,9,FALSE)=K24, "", IF(K24="x","+", "-"))</f>
        <v/>
      </c>
      <c r="AB24" s="1" t="str">
        <f>IF(VLOOKUP($C24,Intermediate!$C$2:$R$208,10,FALSE)=L24, "", IF(L24="x","+", "-"))</f>
        <v/>
      </c>
      <c r="AC24" s="1" t="str">
        <f>IF(VLOOKUP($C24,Intermediate!$C$2:$R$208,11,FALSE)=M24, "", IF(M24="x","+", "-"))</f>
        <v/>
      </c>
      <c r="AD24" s="1" t="str">
        <f>IF(VLOOKUP($C24,Intermediate!$C$2:$R$208,12,FALSE)=N24, "", IF(N24="x","+", "-"))</f>
        <v/>
      </c>
      <c r="AE24" s="1" t="str">
        <f>IF(VLOOKUP($C24,Intermediate!$C$2:$R$208,13,FALSE)=O24, "", IF(O24="x","+", "-"))</f>
        <v/>
      </c>
      <c r="AF24" s="1" t="str">
        <f>IF(VLOOKUP($C24,Intermediate!$C$2:$R$208,14,FALSE)=P24, "", IF(P24="x","+", "-"))</f>
        <v/>
      </c>
      <c r="AG24" s="1" t="str">
        <f>IF(VLOOKUP($C24,Intermediate!$C$2:$R$208,15,FALSE)=Q24, "", IF(Q24="x","+", "-"))</f>
        <v/>
      </c>
      <c r="AH24" s="1" t="str">
        <f>IF(VLOOKUP($C24,Intermediate!$C$2:$R$208,16,FALSE)=R24, "", IF(R24="x","+", "-"))</f>
        <v/>
      </c>
    </row>
    <row r="25" spans="1:34" ht="15" customHeight="1" x14ac:dyDescent="0.2">
      <c r="A25" s="8" t="s">
        <v>93</v>
      </c>
      <c r="B25" s="8" t="s">
        <v>29</v>
      </c>
      <c r="C25" s="9" t="str">
        <f t="shared" si="0"/>
        <v>RU Advanced Programming</v>
      </c>
      <c r="D25" s="5"/>
      <c r="E25" s="5"/>
      <c r="F25" s="5"/>
      <c r="G25" s="5" t="s">
        <v>19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 t="s">
        <v>19</v>
      </c>
      <c r="S25" s="7"/>
      <c r="T25" s="1" t="str">
        <f>IF(VLOOKUP($C25,Intermediate!$C$2:$R$208,2,FALSE)=D25, "", IF(D25="x","+", "-"))</f>
        <v/>
      </c>
      <c r="U25" s="1" t="str">
        <f>IF(VLOOKUP($C25,Intermediate!$C$2:$R$208,3,FALSE)=E25, "", IF(E25="x","+", "-"))</f>
        <v/>
      </c>
      <c r="V25" s="1" t="str">
        <f>IF(VLOOKUP($C25,Intermediate!$C$2:$R$208,4,FALSE)=F25, "", IF(F25="x","+", "-"))</f>
        <v/>
      </c>
      <c r="W25" s="1" t="str">
        <f>IF(VLOOKUP($C25,Intermediate!$C$2:$R$208,5,FALSE)=G25, "", IF(G25="x","+", "-"))</f>
        <v/>
      </c>
      <c r="X25" s="1" t="str">
        <f>IF(VLOOKUP($C25,Intermediate!$C$2:$R$208,6,FALSE)=H25, "", IF(H25="x","+", "-"))</f>
        <v/>
      </c>
      <c r="Y25" s="1" t="str">
        <f>IF(VLOOKUP($C25,Intermediate!$C$2:$R$208,7,FALSE)=I25, "", IF(I25="x","+", "-"))</f>
        <v/>
      </c>
      <c r="Z25" s="1" t="str">
        <f>IF(VLOOKUP($C25,Intermediate!$C$2:$R$208,8,FALSE)=J25, "", IF(J25="x","+", "-"))</f>
        <v/>
      </c>
      <c r="AA25" s="1" t="str">
        <f>IF(VLOOKUP($C25,Intermediate!$C$2:$R$208,9,FALSE)=K25, "", IF(K25="x","+", "-"))</f>
        <v/>
      </c>
      <c r="AB25" s="1" t="str">
        <f>IF(VLOOKUP($C25,Intermediate!$C$2:$R$208,10,FALSE)=L25, "", IF(L25="x","+", "-"))</f>
        <v/>
      </c>
      <c r="AC25" s="1" t="str">
        <f>IF(VLOOKUP($C25,Intermediate!$C$2:$R$208,11,FALSE)=M25, "", IF(M25="x","+", "-"))</f>
        <v/>
      </c>
      <c r="AD25" s="1" t="str">
        <f>IF(VLOOKUP($C25,Intermediate!$C$2:$R$208,12,FALSE)=N25, "", IF(N25="x","+", "-"))</f>
        <v/>
      </c>
      <c r="AE25" s="1" t="str">
        <f>IF(VLOOKUP($C25,Intermediate!$C$2:$R$208,13,FALSE)=O25, "", IF(O25="x","+", "-"))</f>
        <v/>
      </c>
      <c r="AF25" s="1" t="str">
        <f>IF(VLOOKUP($C25,Intermediate!$C$2:$R$208,14,FALSE)=P25, "", IF(P25="x","+", "-"))</f>
        <v/>
      </c>
      <c r="AG25" s="1" t="str">
        <f>IF(VLOOKUP($C25,Intermediate!$C$2:$R$208,15,FALSE)=Q25, "", IF(Q25="x","+", "-"))</f>
        <v/>
      </c>
      <c r="AH25" s="1" t="str">
        <f>IF(VLOOKUP($C25,Intermediate!$C$2:$R$208,16,FALSE)=R25, "", IF(R25="x","+", "-"))</f>
        <v/>
      </c>
    </row>
    <row r="26" spans="1:34" ht="15" customHeight="1" x14ac:dyDescent="0.2">
      <c r="A26" s="8" t="s">
        <v>94</v>
      </c>
      <c r="B26" s="8" t="s">
        <v>29</v>
      </c>
      <c r="C26" s="9" t="str">
        <f t="shared" si="0"/>
        <v>RU Compiler construction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 t="s">
        <v>19</v>
      </c>
      <c r="S26" s="1"/>
      <c r="T26" s="1" t="str">
        <f>IF(VLOOKUP($C26,Intermediate!$C$2:$R$208,2,FALSE)=D26, "", IF(D26="x","+", "-"))</f>
        <v/>
      </c>
      <c r="U26" s="1" t="str">
        <f>IF(VLOOKUP($C26,Intermediate!$C$2:$R$208,3,FALSE)=E26, "", IF(E26="x","+", "-"))</f>
        <v/>
      </c>
      <c r="V26" s="1" t="str">
        <f>IF(VLOOKUP($C26,Intermediate!$C$2:$R$208,4,FALSE)=F26, "", IF(F26="x","+", "-"))</f>
        <v/>
      </c>
      <c r="W26" s="1" t="str">
        <f>IF(VLOOKUP($C26,Intermediate!$C$2:$R$208,5,FALSE)=G26, "", IF(G26="x","+", "-"))</f>
        <v/>
      </c>
      <c r="X26" s="1" t="str">
        <f>IF(VLOOKUP($C26,Intermediate!$C$2:$R$208,6,FALSE)=H26, "", IF(H26="x","+", "-"))</f>
        <v/>
      </c>
      <c r="Y26" s="1" t="str">
        <f>IF(VLOOKUP($C26,Intermediate!$C$2:$R$208,7,FALSE)=I26, "", IF(I26="x","+", "-"))</f>
        <v/>
      </c>
      <c r="Z26" s="1" t="str">
        <f>IF(VLOOKUP($C26,Intermediate!$C$2:$R$208,8,FALSE)=J26, "", IF(J26="x","+", "-"))</f>
        <v/>
      </c>
      <c r="AA26" s="1" t="str">
        <f>IF(VLOOKUP($C26,Intermediate!$C$2:$R$208,9,FALSE)=K26, "", IF(K26="x","+", "-"))</f>
        <v/>
      </c>
      <c r="AB26" s="1" t="str">
        <f>IF(VLOOKUP($C26,Intermediate!$C$2:$R$208,10,FALSE)=L26, "", IF(L26="x","+", "-"))</f>
        <v/>
      </c>
      <c r="AC26" s="1" t="str">
        <f>IF(VLOOKUP($C26,Intermediate!$C$2:$R$208,11,FALSE)=M26, "", IF(M26="x","+", "-"))</f>
        <v/>
      </c>
      <c r="AD26" s="1" t="str">
        <f>IF(VLOOKUP($C26,Intermediate!$C$2:$R$208,12,FALSE)=N26, "", IF(N26="x","+", "-"))</f>
        <v/>
      </c>
      <c r="AE26" s="1" t="str">
        <f>IF(VLOOKUP($C26,Intermediate!$C$2:$R$208,13,FALSE)=O26, "", IF(O26="x","+", "-"))</f>
        <v/>
      </c>
      <c r="AF26" s="1" t="str">
        <f>IF(VLOOKUP($C26,Intermediate!$C$2:$R$208,14,FALSE)=P26, "", IF(P26="x","+", "-"))</f>
        <v/>
      </c>
      <c r="AG26" s="1" t="str">
        <f>IF(VLOOKUP($C26,Intermediate!$C$2:$R$208,15,FALSE)=Q26, "", IF(Q26="x","+", "-"))</f>
        <v/>
      </c>
      <c r="AH26" s="1" t="str">
        <f>IF(VLOOKUP($C26,Intermediate!$C$2:$R$208,16,FALSE)=R26, "", IF(R26="x","+", "-"))</f>
        <v/>
      </c>
    </row>
    <row r="27" spans="1:34" ht="15" customHeight="1" x14ac:dyDescent="0.2">
      <c r="A27" s="8" t="s">
        <v>95</v>
      </c>
      <c r="B27" s="8" t="s">
        <v>29</v>
      </c>
      <c r="C27" s="9" t="str">
        <f t="shared" si="0"/>
        <v>RU Model checking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 t="s">
        <v>19</v>
      </c>
      <c r="R27" s="5"/>
      <c r="S27" s="1"/>
      <c r="T27" s="1" t="str">
        <f>IF(VLOOKUP($C27,Intermediate!$C$2:$R$208,2,FALSE)=D27, "", IF(D27="x","+", "-"))</f>
        <v/>
      </c>
      <c r="U27" s="1" t="str">
        <f>IF(VLOOKUP($C27,Intermediate!$C$2:$R$208,3,FALSE)=E27, "", IF(E27="x","+", "-"))</f>
        <v/>
      </c>
      <c r="V27" s="1" t="str">
        <f>IF(VLOOKUP($C27,Intermediate!$C$2:$R$208,4,FALSE)=F27, "", IF(F27="x","+", "-"))</f>
        <v/>
      </c>
      <c r="W27" s="1" t="str">
        <f>IF(VLOOKUP($C27,Intermediate!$C$2:$R$208,5,FALSE)=G27, "", IF(G27="x","+", "-"))</f>
        <v/>
      </c>
      <c r="X27" s="1" t="str">
        <f>IF(VLOOKUP($C27,Intermediate!$C$2:$R$208,6,FALSE)=H27, "", IF(H27="x","+", "-"))</f>
        <v/>
      </c>
      <c r="Y27" s="1" t="str">
        <f>IF(VLOOKUP($C27,Intermediate!$C$2:$R$208,7,FALSE)=I27, "", IF(I27="x","+", "-"))</f>
        <v/>
      </c>
      <c r="Z27" s="1" t="str">
        <f>IF(VLOOKUP($C27,Intermediate!$C$2:$R$208,8,FALSE)=J27, "", IF(J27="x","+", "-"))</f>
        <v/>
      </c>
      <c r="AA27" s="1" t="str">
        <f>IF(VLOOKUP($C27,Intermediate!$C$2:$R$208,9,FALSE)=K27, "", IF(K27="x","+", "-"))</f>
        <v/>
      </c>
      <c r="AB27" s="1" t="str">
        <f>IF(VLOOKUP($C27,Intermediate!$C$2:$R$208,10,FALSE)=L27, "", IF(L27="x","+", "-"))</f>
        <v/>
      </c>
      <c r="AC27" s="1" t="str">
        <f>IF(VLOOKUP($C27,Intermediate!$C$2:$R$208,11,FALSE)=M27, "", IF(M27="x","+", "-"))</f>
        <v/>
      </c>
      <c r="AD27" s="1" t="str">
        <f>IF(VLOOKUP($C27,Intermediate!$C$2:$R$208,12,FALSE)=N27, "", IF(N27="x","+", "-"))</f>
        <v/>
      </c>
      <c r="AE27" s="1" t="str">
        <f>IF(VLOOKUP($C27,Intermediate!$C$2:$R$208,13,FALSE)=O27, "", IF(O27="x","+", "-"))</f>
        <v/>
      </c>
      <c r="AF27" s="1" t="str">
        <f>IF(VLOOKUP($C27,Intermediate!$C$2:$R$208,14,FALSE)=P27, "", IF(P27="x","+", "-"))</f>
        <v/>
      </c>
      <c r="AG27" s="1" t="str">
        <f>IF(VLOOKUP($C27,Intermediate!$C$2:$R$208,15,FALSE)=Q27, "", IF(Q27="x","+", "-"))</f>
        <v/>
      </c>
      <c r="AH27" s="1" t="str">
        <f>IF(VLOOKUP($C27,Intermediate!$C$2:$R$208,16,FALSE)=R27, "", IF(R27="x","+", "-"))</f>
        <v/>
      </c>
    </row>
    <row r="28" spans="1:34" ht="15" customHeight="1" x14ac:dyDescent="0.2">
      <c r="A28" s="8" t="s">
        <v>96</v>
      </c>
      <c r="B28" s="8" t="s">
        <v>29</v>
      </c>
      <c r="C28" s="9" t="str">
        <f t="shared" si="0"/>
        <v>RU Program verification with types and logic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 t="s">
        <v>19</v>
      </c>
      <c r="R28" s="5" t="s">
        <v>19</v>
      </c>
      <c r="S28" s="7"/>
      <c r="T28" s="1" t="str">
        <f>IF(VLOOKUP($C28,Intermediate!$C$2:$R$208,2,FALSE)=D28, "", IF(D28="x","+", "-"))</f>
        <v/>
      </c>
      <c r="U28" s="1" t="str">
        <f>IF(VLOOKUP($C28,Intermediate!$C$2:$R$208,3,FALSE)=E28, "", IF(E28="x","+", "-"))</f>
        <v/>
      </c>
      <c r="V28" s="1" t="str">
        <f>IF(VLOOKUP($C28,Intermediate!$C$2:$R$208,4,FALSE)=F28, "", IF(F28="x","+", "-"))</f>
        <v/>
      </c>
      <c r="W28" s="1" t="str">
        <f>IF(VLOOKUP($C28,Intermediate!$C$2:$R$208,5,FALSE)=G28, "", IF(G28="x","+", "-"))</f>
        <v/>
      </c>
      <c r="X28" s="1" t="str">
        <f>IF(VLOOKUP($C28,Intermediate!$C$2:$R$208,6,FALSE)=H28, "", IF(H28="x","+", "-"))</f>
        <v/>
      </c>
      <c r="Y28" s="1" t="str">
        <f>IF(VLOOKUP($C28,Intermediate!$C$2:$R$208,7,FALSE)=I28, "", IF(I28="x","+", "-"))</f>
        <v/>
      </c>
      <c r="Z28" s="1" t="str">
        <f>IF(VLOOKUP($C28,Intermediate!$C$2:$R$208,8,FALSE)=J28, "", IF(J28="x","+", "-"))</f>
        <v/>
      </c>
      <c r="AA28" s="1" t="str">
        <f>IF(VLOOKUP($C28,Intermediate!$C$2:$R$208,9,FALSE)=K28, "", IF(K28="x","+", "-"))</f>
        <v/>
      </c>
      <c r="AB28" s="1" t="str">
        <f>IF(VLOOKUP($C28,Intermediate!$C$2:$R$208,10,FALSE)=L28, "", IF(L28="x","+", "-"))</f>
        <v/>
      </c>
      <c r="AC28" s="1" t="str">
        <f>IF(VLOOKUP($C28,Intermediate!$C$2:$R$208,11,FALSE)=M28, "", IF(M28="x","+", "-"))</f>
        <v/>
      </c>
      <c r="AD28" s="1" t="str">
        <f>IF(VLOOKUP($C28,Intermediate!$C$2:$R$208,12,FALSE)=N28, "", IF(N28="x","+", "-"))</f>
        <v/>
      </c>
      <c r="AE28" s="1" t="str">
        <f>IF(VLOOKUP($C28,Intermediate!$C$2:$R$208,13,FALSE)=O28, "", IF(O28="x","+", "-"))</f>
        <v/>
      </c>
      <c r="AF28" s="1" t="str">
        <f>IF(VLOOKUP($C28,Intermediate!$C$2:$R$208,14,FALSE)=P28, "", IF(P28="x","+", "-"))</f>
        <v/>
      </c>
      <c r="AG28" s="1" t="str">
        <f>IF(VLOOKUP($C28,Intermediate!$C$2:$R$208,15,FALSE)=Q28, "", IF(Q28="x","+", "-"))</f>
        <v/>
      </c>
      <c r="AH28" s="1" t="str">
        <f>IF(VLOOKUP($C28,Intermediate!$C$2:$R$208,16,FALSE)=R28, "", IF(R28="x","+", "-"))</f>
        <v/>
      </c>
    </row>
    <row r="29" spans="1:34" ht="15" customHeight="1" x14ac:dyDescent="0.2">
      <c r="A29" s="8" t="s">
        <v>97</v>
      </c>
      <c r="B29" s="8" t="s">
        <v>29</v>
      </c>
      <c r="C29" s="9" t="str">
        <f t="shared" si="0"/>
        <v>RU Research Seminar Software Science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7"/>
      <c r="T29" s="1" t="str">
        <f>IF(VLOOKUP($C29,Intermediate!$C$2:$R$208,2,FALSE)=D29, "", IF(D29="x","+", "-"))</f>
        <v/>
      </c>
      <c r="U29" s="1" t="str">
        <f>IF(VLOOKUP($C29,Intermediate!$C$2:$R$208,3,FALSE)=E29, "", IF(E29="x","+", "-"))</f>
        <v/>
      </c>
      <c r="V29" s="1" t="str">
        <f>IF(VLOOKUP($C29,Intermediate!$C$2:$R$208,4,FALSE)=F29, "", IF(F29="x","+", "-"))</f>
        <v/>
      </c>
      <c r="W29" s="1" t="str">
        <f>IF(VLOOKUP($C29,Intermediate!$C$2:$R$208,5,FALSE)=G29, "", IF(G29="x","+", "-"))</f>
        <v/>
      </c>
      <c r="X29" s="1" t="str">
        <f>IF(VLOOKUP($C29,Intermediate!$C$2:$R$208,6,FALSE)=H29, "", IF(H29="x","+", "-"))</f>
        <v/>
      </c>
      <c r="Y29" s="1" t="str">
        <f>IF(VLOOKUP($C29,Intermediate!$C$2:$R$208,7,FALSE)=I29, "", IF(I29="x","+", "-"))</f>
        <v/>
      </c>
      <c r="Z29" s="1" t="str">
        <f>IF(VLOOKUP($C29,Intermediate!$C$2:$R$208,8,FALSE)=J29, "", IF(J29="x","+", "-"))</f>
        <v/>
      </c>
      <c r="AA29" s="1" t="str">
        <f>IF(VLOOKUP($C29,Intermediate!$C$2:$R$208,9,FALSE)=K29, "", IF(K29="x","+", "-"))</f>
        <v/>
      </c>
      <c r="AB29" s="1" t="str">
        <f>IF(VLOOKUP($C29,Intermediate!$C$2:$R$208,10,FALSE)=L29, "", IF(L29="x","+", "-"))</f>
        <v/>
      </c>
      <c r="AC29" s="1" t="str">
        <f>IF(VLOOKUP($C29,Intermediate!$C$2:$R$208,11,FALSE)=M29, "", IF(M29="x","+", "-"))</f>
        <v/>
      </c>
      <c r="AD29" s="1" t="str">
        <f>IF(VLOOKUP($C29,Intermediate!$C$2:$R$208,12,FALSE)=N29, "", IF(N29="x","+", "-"))</f>
        <v/>
      </c>
      <c r="AE29" s="1" t="str">
        <f>IF(VLOOKUP($C29,Intermediate!$C$2:$R$208,13,FALSE)=O29, "", IF(O29="x","+", "-"))</f>
        <v/>
      </c>
      <c r="AF29" s="1" t="str">
        <f>IF(VLOOKUP($C29,Intermediate!$C$2:$R$208,14,FALSE)=P29, "", IF(P29="x","+", "-"))</f>
        <v/>
      </c>
      <c r="AG29" s="1" t="str">
        <f>IF(VLOOKUP($C29,Intermediate!$C$2:$R$208,15,FALSE)=Q29, "", IF(Q29="x","+", "-"))</f>
        <v/>
      </c>
      <c r="AH29" s="1" t="str">
        <f>IF(VLOOKUP($C29,Intermediate!$C$2:$R$208,16,FALSE)=R29, "", IF(R29="x","+", "-"))</f>
        <v/>
      </c>
    </row>
    <row r="30" spans="1:34" ht="15" customHeight="1" x14ac:dyDescent="0.2">
      <c r="A30" s="8" t="s">
        <v>28</v>
      </c>
      <c r="B30" s="8" t="s">
        <v>29</v>
      </c>
      <c r="C30" s="9" t="str">
        <f t="shared" si="0"/>
        <v>RU Software Development Entrepreneurship</v>
      </c>
      <c r="D30" s="5"/>
      <c r="E30" s="5"/>
      <c r="F30" s="5"/>
      <c r="G30" s="5"/>
      <c r="H30" s="5"/>
      <c r="I30" s="5"/>
      <c r="J30" s="5"/>
      <c r="K30" s="5"/>
      <c r="L30" s="5" t="s">
        <v>19</v>
      </c>
      <c r="M30" s="5" t="s">
        <v>19</v>
      </c>
      <c r="N30" s="5"/>
      <c r="O30" s="5"/>
      <c r="P30" s="5" t="s">
        <v>19</v>
      </c>
      <c r="Q30" s="5"/>
      <c r="R30" s="5"/>
      <c r="S30" s="1"/>
      <c r="T30" s="1" t="str">
        <f>IF(VLOOKUP($C30,Intermediate!$C$2:$R$208,2,FALSE)=D30, "", IF(D30="x","+", "-"))</f>
        <v/>
      </c>
      <c r="U30" s="1" t="str">
        <f>IF(VLOOKUP($C30,Intermediate!$C$2:$R$208,3,FALSE)=E30, "", IF(E30="x","+", "-"))</f>
        <v/>
      </c>
      <c r="V30" s="1" t="str">
        <f>IF(VLOOKUP($C30,Intermediate!$C$2:$R$208,4,FALSE)=F30, "", IF(F30="x","+", "-"))</f>
        <v/>
      </c>
      <c r="W30" s="1" t="str">
        <f>IF(VLOOKUP($C30,Intermediate!$C$2:$R$208,5,FALSE)=G30, "", IF(G30="x","+", "-"))</f>
        <v/>
      </c>
      <c r="X30" s="1" t="str">
        <f>IF(VLOOKUP($C30,Intermediate!$C$2:$R$208,6,FALSE)=H30, "", IF(H30="x","+", "-"))</f>
        <v/>
      </c>
      <c r="Y30" s="1" t="str">
        <f>IF(VLOOKUP($C30,Intermediate!$C$2:$R$208,7,FALSE)=I30, "", IF(I30="x","+", "-"))</f>
        <v/>
      </c>
      <c r="Z30" s="1" t="str">
        <f>IF(VLOOKUP($C30,Intermediate!$C$2:$R$208,8,FALSE)=J30, "", IF(J30="x","+", "-"))</f>
        <v/>
      </c>
      <c r="AA30" s="1" t="str">
        <f>IF(VLOOKUP($C30,Intermediate!$C$2:$R$208,9,FALSE)=K30, "", IF(K30="x","+", "-"))</f>
        <v/>
      </c>
      <c r="AB30" s="1" t="str">
        <f>IF(VLOOKUP($C30,Intermediate!$C$2:$R$208,10,FALSE)=L30, "", IF(L30="x","+", "-"))</f>
        <v/>
      </c>
      <c r="AC30" s="1" t="str">
        <f>IF(VLOOKUP($C30,Intermediate!$C$2:$R$208,11,FALSE)=M30, "", IF(M30="x","+", "-"))</f>
        <v/>
      </c>
      <c r="AD30" s="1" t="str">
        <f>IF(VLOOKUP($C30,Intermediate!$C$2:$R$208,12,FALSE)=N30, "", IF(N30="x","+", "-"))</f>
        <v/>
      </c>
      <c r="AE30" s="1" t="str">
        <f>IF(VLOOKUP($C30,Intermediate!$C$2:$R$208,13,FALSE)=O30, "", IF(O30="x","+", "-"))</f>
        <v/>
      </c>
      <c r="AF30" s="1" t="str">
        <f>IF(VLOOKUP($C30,Intermediate!$C$2:$R$208,14,FALSE)=P30, "", IF(P30="x","+", "-"))</f>
        <v/>
      </c>
      <c r="AG30" s="1" t="str">
        <f>IF(VLOOKUP($C30,Intermediate!$C$2:$R$208,15,FALSE)=Q30, "", IF(Q30="x","+", "-"))</f>
        <v/>
      </c>
      <c r="AH30" s="1" t="str">
        <f>IF(VLOOKUP($C30,Intermediate!$C$2:$R$208,16,FALSE)=R30, "", IF(R30="x","+", "-"))</f>
        <v/>
      </c>
    </row>
    <row r="31" spans="1:34" ht="15" customHeight="1" x14ac:dyDescent="0.2">
      <c r="A31" s="8" t="s">
        <v>56</v>
      </c>
      <c r="B31" s="8" t="s">
        <v>29</v>
      </c>
      <c r="C31" s="9" t="str">
        <f t="shared" si="0"/>
        <v>RU Software Product Lines</v>
      </c>
      <c r="D31" s="5"/>
      <c r="E31" s="5" t="s">
        <v>19</v>
      </c>
      <c r="F31" s="5"/>
      <c r="G31" s="5"/>
      <c r="H31" s="5"/>
      <c r="I31" s="5" t="s">
        <v>19</v>
      </c>
      <c r="J31" s="5"/>
      <c r="K31" s="5"/>
      <c r="L31" s="5" t="s">
        <v>19</v>
      </c>
      <c r="M31" s="5"/>
      <c r="N31" s="5"/>
      <c r="O31" s="5"/>
      <c r="P31" s="5"/>
      <c r="Q31" s="5"/>
      <c r="R31" s="5"/>
      <c r="S31" s="1"/>
      <c r="T31" s="1" t="str">
        <f>IF(VLOOKUP($C31,Intermediate!$C$2:$R$208,2,FALSE)=D31, "", IF(D31="x","+", "-"))</f>
        <v/>
      </c>
      <c r="U31" s="1" t="str">
        <f>IF(VLOOKUP($C31,Intermediate!$C$2:$R$208,3,FALSE)=E31, "", IF(E31="x","+", "-"))</f>
        <v/>
      </c>
      <c r="V31" s="1" t="str">
        <f>IF(VLOOKUP($C31,Intermediate!$C$2:$R$208,4,FALSE)=F31, "", IF(F31="x","+", "-"))</f>
        <v/>
      </c>
      <c r="W31" s="1" t="str">
        <f>IF(VLOOKUP($C31,Intermediate!$C$2:$R$208,5,FALSE)=G31, "", IF(G31="x","+", "-"))</f>
        <v/>
      </c>
      <c r="X31" s="1" t="str">
        <f>IF(VLOOKUP($C31,Intermediate!$C$2:$R$208,6,FALSE)=H31, "", IF(H31="x","+", "-"))</f>
        <v/>
      </c>
      <c r="Y31" s="1" t="str">
        <f>IF(VLOOKUP($C31,Intermediate!$C$2:$R$208,7,FALSE)=I31, "", IF(I31="x","+", "-"))</f>
        <v/>
      </c>
      <c r="Z31" s="1" t="str">
        <f>IF(VLOOKUP($C31,Intermediate!$C$2:$R$208,8,FALSE)=J31, "", IF(J31="x","+", "-"))</f>
        <v/>
      </c>
      <c r="AA31" s="1" t="str">
        <f>IF(VLOOKUP($C31,Intermediate!$C$2:$R$208,9,FALSE)=K31, "", IF(K31="x","+", "-"))</f>
        <v/>
      </c>
      <c r="AB31" s="1" t="str">
        <f>IF(VLOOKUP($C31,Intermediate!$C$2:$R$208,10,FALSE)=L31, "", IF(L31="x","+", "-"))</f>
        <v/>
      </c>
      <c r="AC31" s="1" t="str">
        <f>IF(VLOOKUP($C31,Intermediate!$C$2:$R$208,11,FALSE)=M31, "", IF(M31="x","+", "-"))</f>
        <v/>
      </c>
      <c r="AD31" s="1" t="str">
        <f>IF(VLOOKUP($C31,Intermediate!$C$2:$R$208,12,FALSE)=N31, "", IF(N31="x","+", "-"))</f>
        <v/>
      </c>
      <c r="AE31" s="1" t="str">
        <f>IF(VLOOKUP($C31,Intermediate!$C$2:$R$208,13,FALSE)=O31, "", IF(O31="x","+", "-"))</f>
        <v/>
      </c>
      <c r="AF31" s="1" t="str">
        <f>IF(VLOOKUP($C31,Intermediate!$C$2:$R$208,14,FALSE)=P31, "", IF(P31="x","+", "-"))</f>
        <v/>
      </c>
      <c r="AG31" s="1" t="str">
        <f>IF(VLOOKUP($C31,Intermediate!$C$2:$R$208,15,FALSE)=Q31, "", IF(Q31="x","+", "-"))</f>
        <v/>
      </c>
      <c r="AH31" s="1" t="str">
        <f>IF(VLOOKUP($C31,Intermediate!$C$2:$R$208,16,FALSE)=R31, "", IF(R31="x","+", "-"))</f>
        <v/>
      </c>
    </row>
    <row r="32" spans="1:34" ht="15" customHeight="1" x14ac:dyDescent="0.2">
      <c r="A32" s="8" t="s">
        <v>98</v>
      </c>
      <c r="B32" s="8" t="s">
        <v>29</v>
      </c>
      <c r="C32" s="9" t="str">
        <f t="shared" si="0"/>
        <v>RU Software Security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 t="s">
        <v>19</v>
      </c>
      <c r="P32" s="5"/>
      <c r="Q32" s="5"/>
      <c r="R32" s="5"/>
      <c r="S32" s="1"/>
      <c r="T32" s="1" t="str">
        <f>IF(VLOOKUP($C32,Intermediate!$C$2:$R$208,2,FALSE)=D32, "", IF(D32="x","+", "-"))</f>
        <v/>
      </c>
      <c r="U32" s="1" t="str">
        <f>IF(VLOOKUP($C32,Intermediate!$C$2:$R$208,3,FALSE)=E32, "", IF(E32="x","+", "-"))</f>
        <v/>
      </c>
      <c r="V32" s="1" t="str">
        <f>IF(VLOOKUP($C32,Intermediate!$C$2:$R$208,4,FALSE)=F32, "", IF(F32="x","+", "-"))</f>
        <v/>
      </c>
      <c r="W32" s="1" t="str">
        <f>IF(VLOOKUP($C32,Intermediate!$C$2:$R$208,5,FALSE)=G32, "", IF(G32="x","+", "-"))</f>
        <v/>
      </c>
      <c r="X32" s="1" t="str">
        <f>IF(VLOOKUP($C32,Intermediate!$C$2:$R$208,6,FALSE)=H32, "", IF(H32="x","+", "-"))</f>
        <v/>
      </c>
      <c r="Y32" s="1" t="str">
        <f>IF(VLOOKUP($C32,Intermediate!$C$2:$R$208,7,FALSE)=I32, "", IF(I32="x","+", "-"))</f>
        <v/>
      </c>
      <c r="Z32" s="1" t="str">
        <f>IF(VLOOKUP($C32,Intermediate!$C$2:$R$208,8,FALSE)=J32, "", IF(J32="x","+", "-"))</f>
        <v/>
      </c>
      <c r="AA32" s="1" t="str">
        <f>IF(VLOOKUP($C32,Intermediate!$C$2:$R$208,9,FALSE)=K32, "", IF(K32="x","+", "-"))</f>
        <v/>
      </c>
      <c r="AB32" s="1" t="str">
        <f>IF(VLOOKUP($C32,Intermediate!$C$2:$R$208,10,FALSE)=L32, "", IF(L32="x","+", "-"))</f>
        <v/>
      </c>
      <c r="AC32" s="1" t="str">
        <f>IF(VLOOKUP($C32,Intermediate!$C$2:$R$208,11,FALSE)=M32, "", IF(M32="x","+", "-"))</f>
        <v/>
      </c>
      <c r="AD32" s="1" t="str">
        <f>IF(VLOOKUP($C32,Intermediate!$C$2:$R$208,12,FALSE)=N32, "", IF(N32="x","+", "-"))</f>
        <v/>
      </c>
      <c r="AE32" s="1" t="str">
        <f>IF(VLOOKUP($C32,Intermediate!$C$2:$R$208,13,FALSE)=O32, "", IF(O32="x","+", "-"))</f>
        <v/>
      </c>
      <c r="AF32" s="1" t="str">
        <f>IF(VLOOKUP($C32,Intermediate!$C$2:$R$208,14,FALSE)=P32, "", IF(P32="x","+", "-"))</f>
        <v/>
      </c>
      <c r="AG32" s="1" t="str">
        <f>IF(VLOOKUP($C32,Intermediate!$C$2:$R$208,15,FALSE)=Q32, "", IF(Q32="x","+", "-"))</f>
        <v/>
      </c>
      <c r="AH32" s="1" t="str">
        <f>IF(VLOOKUP($C32,Intermediate!$C$2:$R$208,16,FALSE)=R32, "", IF(R32="x","+", "-"))</f>
        <v/>
      </c>
    </row>
    <row r="33" spans="1:34" ht="15" customHeight="1" x14ac:dyDescent="0.2">
      <c r="A33" s="8" t="s">
        <v>30</v>
      </c>
      <c r="B33" s="8" t="s">
        <v>29</v>
      </c>
      <c r="C33" s="9" t="str">
        <f t="shared" si="0"/>
        <v>RU Systems Development Management</v>
      </c>
      <c r="D33" s="5"/>
      <c r="E33" s="5"/>
      <c r="F33" s="5"/>
      <c r="G33" s="5"/>
      <c r="H33" s="5"/>
      <c r="I33" s="5" t="s">
        <v>19</v>
      </c>
      <c r="J33" s="5"/>
      <c r="K33" s="5"/>
      <c r="L33" s="5" t="s">
        <v>19</v>
      </c>
      <c r="M33" s="5" t="s">
        <v>19</v>
      </c>
      <c r="N33" s="5"/>
      <c r="O33" s="5"/>
      <c r="P33" s="5"/>
      <c r="Q33" s="5"/>
      <c r="R33" s="5"/>
      <c r="S33" s="1"/>
      <c r="T33" s="1" t="str">
        <f>IF(VLOOKUP($C33,Intermediate!$C$2:$R$208,2,FALSE)=D33, "", IF(D33="x","+", "-"))</f>
        <v/>
      </c>
      <c r="U33" s="1" t="str">
        <f>IF(VLOOKUP($C33,Intermediate!$C$2:$R$208,3,FALSE)=E33, "", IF(E33="x","+", "-"))</f>
        <v/>
      </c>
      <c r="V33" s="1" t="str">
        <f>IF(VLOOKUP($C33,Intermediate!$C$2:$R$208,4,FALSE)=F33, "", IF(F33="x","+", "-"))</f>
        <v/>
      </c>
      <c r="W33" s="1" t="str">
        <f>IF(VLOOKUP($C33,Intermediate!$C$2:$R$208,5,FALSE)=G33, "", IF(G33="x","+", "-"))</f>
        <v/>
      </c>
      <c r="X33" s="1" t="str">
        <f>IF(VLOOKUP($C33,Intermediate!$C$2:$R$208,6,FALSE)=H33, "", IF(H33="x","+", "-"))</f>
        <v/>
      </c>
      <c r="Y33" s="1" t="str">
        <f>IF(VLOOKUP($C33,Intermediate!$C$2:$R$208,7,FALSE)=I33, "", IF(I33="x","+", "-"))</f>
        <v/>
      </c>
      <c r="Z33" s="1" t="str">
        <f>IF(VLOOKUP($C33,Intermediate!$C$2:$R$208,8,FALSE)=J33, "", IF(J33="x","+", "-"))</f>
        <v/>
      </c>
      <c r="AA33" s="1" t="str">
        <f>IF(VLOOKUP($C33,Intermediate!$C$2:$R$208,9,FALSE)=K33, "", IF(K33="x","+", "-"))</f>
        <v/>
      </c>
      <c r="AB33" s="1" t="str">
        <f>IF(VLOOKUP($C33,Intermediate!$C$2:$R$208,10,FALSE)=L33, "", IF(L33="x","+", "-"))</f>
        <v/>
      </c>
      <c r="AC33" s="1" t="str">
        <f>IF(VLOOKUP($C33,Intermediate!$C$2:$R$208,11,FALSE)=M33, "", IF(M33="x","+", "-"))</f>
        <v/>
      </c>
      <c r="AD33" s="1" t="str">
        <f>IF(VLOOKUP($C33,Intermediate!$C$2:$R$208,12,FALSE)=N33, "", IF(N33="x","+", "-"))</f>
        <v/>
      </c>
      <c r="AE33" s="1" t="str">
        <f>IF(VLOOKUP($C33,Intermediate!$C$2:$R$208,13,FALSE)=O33, "", IF(O33="x","+", "-"))</f>
        <v/>
      </c>
      <c r="AF33" s="1" t="str">
        <f>IF(VLOOKUP($C33,Intermediate!$C$2:$R$208,14,FALSE)=P33, "", IF(P33="x","+", "-"))</f>
        <v/>
      </c>
      <c r="AG33" s="1" t="str">
        <f>IF(VLOOKUP($C33,Intermediate!$C$2:$R$208,15,FALSE)=Q33, "", IF(Q33="x","+", "-"))</f>
        <v/>
      </c>
      <c r="AH33" s="1" t="str">
        <f>IF(VLOOKUP($C33,Intermediate!$C$2:$R$208,16,FALSE)=R33, "", IF(R33="x","+", "-"))</f>
        <v/>
      </c>
    </row>
    <row r="34" spans="1:34" ht="15" customHeight="1" x14ac:dyDescent="0.2">
      <c r="A34" s="8" t="s">
        <v>46</v>
      </c>
      <c r="B34" s="8" t="s">
        <v>29</v>
      </c>
      <c r="C34" s="9" t="str">
        <f t="shared" si="0"/>
        <v>RU Testing Techniques</v>
      </c>
      <c r="D34" s="5"/>
      <c r="E34" s="5"/>
      <c r="F34" s="5"/>
      <c r="G34" s="5"/>
      <c r="H34" s="5" t="s">
        <v>19</v>
      </c>
      <c r="I34" s="5"/>
      <c r="J34" s="5"/>
      <c r="K34" s="5"/>
      <c r="L34" s="5"/>
      <c r="M34" s="5" t="s">
        <v>19</v>
      </c>
      <c r="N34" s="5" t="s">
        <v>19</v>
      </c>
      <c r="O34" s="5"/>
      <c r="P34" s="5"/>
      <c r="Q34" s="5"/>
      <c r="R34" s="5"/>
      <c r="S34" s="1"/>
      <c r="T34" s="1" t="str">
        <f>IF(VLOOKUP($C34,Intermediate!$C$2:$R$208,2,FALSE)=D34, "", IF(D34="x","+", "-"))</f>
        <v/>
      </c>
      <c r="U34" s="1" t="str">
        <f>IF(VLOOKUP($C34,Intermediate!$C$2:$R$208,3,FALSE)=E34, "", IF(E34="x","+", "-"))</f>
        <v/>
      </c>
      <c r="V34" s="1" t="str">
        <f>IF(VLOOKUP($C34,Intermediate!$C$2:$R$208,4,FALSE)=F34, "", IF(F34="x","+", "-"))</f>
        <v/>
      </c>
      <c r="W34" s="1" t="str">
        <f>IF(VLOOKUP($C34,Intermediate!$C$2:$R$208,5,FALSE)=G34, "", IF(G34="x","+", "-"))</f>
        <v/>
      </c>
      <c r="X34" s="1" t="str">
        <f>IF(VLOOKUP($C34,Intermediate!$C$2:$R$208,6,FALSE)=H34, "", IF(H34="x","+", "-"))</f>
        <v/>
      </c>
      <c r="Y34" s="1" t="str">
        <f>IF(VLOOKUP($C34,Intermediate!$C$2:$R$208,7,FALSE)=I34, "", IF(I34="x","+", "-"))</f>
        <v/>
      </c>
      <c r="Z34" s="1" t="str">
        <f>IF(VLOOKUP($C34,Intermediate!$C$2:$R$208,8,FALSE)=J34, "", IF(J34="x","+", "-"))</f>
        <v/>
      </c>
      <c r="AA34" s="1" t="str">
        <f>IF(VLOOKUP($C34,Intermediate!$C$2:$R$208,9,FALSE)=K34, "", IF(K34="x","+", "-"))</f>
        <v/>
      </c>
      <c r="AB34" s="1" t="str">
        <f>IF(VLOOKUP($C34,Intermediate!$C$2:$R$208,10,FALSE)=L34, "", IF(L34="x","+", "-"))</f>
        <v/>
      </c>
      <c r="AC34" s="1" t="str">
        <f>IF(VLOOKUP($C34,Intermediate!$C$2:$R$208,11,FALSE)=M34, "", IF(M34="x","+", "-"))</f>
        <v/>
      </c>
      <c r="AD34" s="1" t="str">
        <f>IF(VLOOKUP($C34,Intermediate!$C$2:$R$208,12,FALSE)=N34, "", IF(N34="x","+", "-"))</f>
        <v/>
      </c>
      <c r="AE34" s="1" t="str">
        <f>IF(VLOOKUP($C34,Intermediate!$C$2:$R$208,13,FALSE)=O34, "", IF(O34="x","+", "-"))</f>
        <v/>
      </c>
      <c r="AF34" s="1" t="str">
        <f>IF(VLOOKUP($C34,Intermediate!$C$2:$R$208,14,FALSE)=P34, "", IF(P34="x","+", "-"))</f>
        <v/>
      </c>
      <c r="AG34" s="1" t="str">
        <f>IF(VLOOKUP($C34,Intermediate!$C$2:$R$208,15,FALSE)=Q34, "", IF(Q34="x","+", "-"))</f>
        <v/>
      </c>
      <c r="AH34" s="1" t="str">
        <f>IF(VLOOKUP($C34,Intermediate!$C$2:$R$208,16,FALSE)=R34, "", IF(R34="x","+", "-"))</f>
        <v/>
      </c>
    </row>
    <row r="35" spans="1:34" ht="15" customHeight="1" x14ac:dyDescent="0.2">
      <c r="A35" s="8" t="s">
        <v>99</v>
      </c>
      <c r="B35" s="8" t="s">
        <v>29</v>
      </c>
      <c r="C35" s="9" t="str">
        <f t="shared" si="0"/>
        <v>RU Type Theory and Coq</v>
      </c>
      <c r="D35" s="5"/>
      <c r="E35" s="5"/>
      <c r="F35" s="5"/>
      <c r="G35" s="5"/>
      <c r="H35" s="12"/>
      <c r="I35" s="5"/>
      <c r="J35" s="5"/>
      <c r="K35" s="5"/>
      <c r="L35" s="12"/>
      <c r="M35" s="5"/>
      <c r="N35" s="5"/>
      <c r="O35" s="5"/>
      <c r="P35" s="5"/>
      <c r="Q35" s="12" t="s">
        <v>19</v>
      </c>
      <c r="R35" s="5" t="s">
        <v>19</v>
      </c>
      <c r="S35" s="1"/>
      <c r="T35" s="1" t="str">
        <f>IF(VLOOKUP($C35,Intermediate!$C$2:$R$208,2,FALSE)=D35, "", IF(D35="x","+", "-"))</f>
        <v/>
      </c>
      <c r="U35" s="1" t="str">
        <f>IF(VLOOKUP($C35,Intermediate!$C$2:$R$208,3,FALSE)=E35, "", IF(E35="x","+", "-"))</f>
        <v/>
      </c>
      <c r="V35" s="1" t="str">
        <f>IF(VLOOKUP($C35,Intermediate!$C$2:$R$208,4,FALSE)=F35, "", IF(F35="x","+", "-"))</f>
        <v/>
      </c>
      <c r="W35" s="1" t="str">
        <f>IF(VLOOKUP($C35,Intermediate!$C$2:$R$208,5,FALSE)=G35, "", IF(G35="x","+", "-"))</f>
        <v/>
      </c>
      <c r="X35" s="1" t="str">
        <f>IF(VLOOKUP($C35,Intermediate!$C$2:$R$208,6,FALSE)=H35, "", IF(H35="x","+", "-"))</f>
        <v/>
      </c>
      <c r="Y35" s="1" t="str">
        <f>IF(VLOOKUP($C35,Intermediate!$C$2:$R$208,7,FALSE)=I35, "", IF(I35="x","+", "-"))</f>
        <v/>
      </c>
      <c r="Z35" s="1" t="str">
        <f>IF(VLOOKUP($C35,Intermediate!$C$2:$R$208,8,FALSE)=J35, "", IF(J35="x","+", "-"))</f>
        <v/>
      </c>
      <c r="AA35" s="1" t="str">
        <f>IF(VLOOKUP($C35,Intermediate!$C$2:$R$208,9,FALSE)=K35, "", IF(K35="x","+", "-"))</f>
        <v/>
      </c>
      <c r="AB35" s="1" t="str">
        <f>IF(VLOOKUP($C35,Intermediate!$C$2:$R$208,10,FALSE)=L35, "", IF(L35="x","+", "-"))</f>
        <v/>
      </c>
      <c r="AC35" s="1" t="str">
        <f>IF(VLOOKUP($C35,Intermediate!$C$2:$R$208,11,FALSE)=M35, "", IF(M35="x","+", "-"))</f>
        <v/>
      </c>
      <c r="AD35" s="1" t="str">
        <f>IF(VLOOKUP($C35,Intermediate!$C$2:$R$208,12,FALSE)=N35, "", IF(N35="x","+", "-"))</f>
        <v/>
      </c>
      <c r="AE35" s="1" t="str">
        <f>IF(VLOOKUP($C35,Intermediate!$C$2:$R$208,13,FALSE)=O35, "", IF(O35="x","+", "-"))</f>
        <v/>
      </c>
      <c r="AF35" s="1" t="str">
        <f>IF(VLOOKUP($C35,Intermediate!$C$2:$R$208,14,FALSE)=P35, "", IF(P35="x","+", "-"))</f>
        <v/>
      </c>
      <c r="AG35" s="1" t="str">
        <f>IF(VLOOKUP($C35,Intermediate!$C$2:$R$208,15,FALSE)=Q35, "", IF(Q35="x","+", "-"))</f>
        <v/>
      </c>
      <c r="AH35" s="1" t="str">
        <f>IF(VLOOKUP($C35,Intermediate!$C$2:$R$208,16,FALSE)=R35, "", IF(R35="x","+", "-"))</f>
        <v/>
      </c>
    </row>
    <row r="36" spans="1:34" ht="15" customHeight="1" x14ac:dyDescent="0.2">
      <c r="A36" s="1" t="s">
        <v>40</v>
      </c>
      <c r="B36" s="1" t="s">
        <v>18</v>
      </c>
      <c r="C36" s="9" t="str">
        <f t="shared" si="0"/>
        <v>RUG Advanced Object Oriented Programming</v>
      </c>
      <c r="D36" s="5"/>
      <c r="E36" s="5"/>
      <c r="F36" s="12" t="s">
        <v>19</v>
      </c>
      <c r="G36" s="5" t="s">
        <v>19</v>
      </c>
      <c r="H36" s="15"/>
      <c r="I36" s="12"/>
      <c r="J36" s="5"/>
      <c r="K36" s="12" t="s">
        <v>19</v>
      </c>
      <c r="L36" s="4"/>
      <c r="M36" s="5" t="s">
        <v>19</v>
      </c>
      <c r="N36" s="5"/>
      <c r="O36" s="5"/>
      <c r="P36" s="5"/>
      <c r="Q36" s="4"/>
      <c r="R36" s="5"/>
      <c r="S36" s="7"/>
      <c r="T36" s="1" t="str">
        <f>IF(VLOOKUP($C36,Intermediate!$C$2:$R$208,2,FALSE)=D36, "", IF(D36="x","+", "-"))</f>
        <v/>
      </c>
      <c r="U36" s="1" t="str">
        <f>IF(VLOOKUP($C36,Intermediate!$C$2:$R$208,3,FALSE)=E36, "", IF(E36="x","+", "-"))</f>
        <v/>
      </c>
      <c r="V36" s="1" t="str">
        <f>IF(VLOOKUP($C36,Intermediate!$C$2:$R$208,4,FALSE)=F36, "", IF(F36="x","+", "-"))</f>
        <v/>
      </c>
      <c r="W36" s="1" t="str">
        <f>IF(VLOOKUP($C36,Intermediate!$C$2:$R$208,5,FALSE)=G36, "", IF(G36="x","+", "-"))</f>
        <v/>
      </c>
      <c r="X36" s="1" t="str">
        <f>IF(VLOOKUP($C36,Intermediate!$C$2:$R$208,6,FALSE)=H36, "", IF(H36="x","+", "-"))</f>
        <v/>
      </c>
      <c r="Y36" s="1" t="str">
        <f>IF(VLOOKUP($C36,Intermediate!$C$2:$R$208,7,FALSE)=I36, "", IF(I36="x","+", "-"))</f>
        <v/>
      </c>
      <c r="Z36" s="1" t="str">
        <f>IF(VLOOKUP($C36,Intermediate!$C$2:$R$208,8,FALSE)=J36, "", IF(J36="x","+", "-"))</f>
        <v/>
      </c>
      <c r="AA36" s="1" t="str">
        <f>IF(VLOOKUP($C36,Intermediate!$C$2:$R$208,9,FALSE)=K36, "", IF(K36="x","+", "-"))</f>
        <v/>
      </c>
      <c r="AB36" s="1" t="str">
        <f>IF(VLOOKUP($C36,Intermediate!$C$2:$R$208,10,FALSE)=L36, "", IF(L36="x","+", "-"))</f>
        <v/>
      </c>
      <c r="AC36" s="1" t="str">
        <f>IF(VLOOKUP($C36,Intermediate!$C$2:$R$208,11,FALSE)=M36, "", IF(M36="x","+", "-"))</f>
        <v/>
      </c>
      <c r="AD36" s="1" t="str">
        <f>IF(VLOOKUP($C36,Intermediate!$C$2:$R$208,12,FALSE)=N36, "", IF(N36="x","+", "-"))</f>
        <v/>
      </c>
      <c r="AE36" s="1" t="str">
        <f>IF(VLOOKUP($C36,Intermediate!$C$2:$R$208,13,FALSE)=O36, "", IF(O36="x","+", "-"))</f>
        <v/>
      </c>
      <c r="AF36" s="1" t="str">
        <f>IF(VLOOKUP($C36,Intermediate!$C$2:$R$208,14,FALSE)=P36, "", IF(P36="x","+", "-"))</f>
        <v/>
      </c>
      <c r="AG36" s="1" t="str">
        <f>IF(VLOOKUP($C36,Intermediate!$C$2:$R$208,15,FALSE)=Q36, "", IF(Q36="x","+", "-"))</f>
        <v/>
      </c>
      <c r="AH36" s="1" t="str">
        <f>IF(VLOOKUP($C36,Intermediate!$C$2:$R$208,16,FALSE)=R36, "", IF(R36="x","+", "-"))</f>
        <v/>
      </c>
    </row>
    <row r="37" spans="1:34" ht="15" customHeight="1" x14ac:dyDescent="0.2">
      <c r="A37" s="1" t="s">
        <v>100</v>
      </c>
      <c r="B37" s="1" t="s">
        <v>18</v>
      </c>
      <c r="C37" s="9" t="str">
        <f t="shared" si="0"/>
        <v>RUG Advanced programming in C++</v>
      </c>
      <c r="D37" s="5"/>
      <c r="E37" s="5"/>
      <c r="F37" s="14"/>
      <c r="G37" s="12" t="s">
        <v>19</v>
      </c>
      <c r="H37" s="15"/>
      <c r="I37" s="4"/>
      <c r="J37" s="5"/>
      <c r="K37" s="4"/>
      <c r="L37" s="5"/>
      <c r="M37" s="5"/>
      <c r="N37" s="5"/>
      <c r="O37" s="5"/>
      <c r="P37" s="5"/>
      <c r="Q37" s="12"/>
      <c r="R37" s="5"/>
      <c r="S37" s="7"/>
      <c r="T37" s="1" t="str">
        <f>IF(VLOOKUP($C37,Intermediate!$C$2:$R$208,2,FALSE)=D37, "", IF(D37="x","+", "-"))</f>
        <v/>
      </c>
      <c r="U37" s="1" t="str">
        <f>IF(VLOOKUP($C37,Intermediate!$C$2:$R$208,3,FALSE)=E37, "", IF(E37="x","+", "-"))</f>
        <v/>
      </c>
      <c r="V37" s="1" t="str">
        <f>IF(VLOOKUP($C37,Intermediate!$C$2:$R$208,4,FALSE)=F37, "", IF(F37="x","+", "-"))</f>
        <v/>
      </c>
      <c r="W37" s="1" t="str">
        <f>IF(VLOOKUP($C37,Intermediate!$C$2:$R$208,5,FALSE)=G37, "", IF(G37="x","+", "-"))</f>
        <v/>
      </c>
      <c r="X37" s="1" t="str">
        <f>IF(VLOOKUP($C37,Intermediate!$C$2:$R$208,6,FALSE)=H37, "", IF(H37="x","+", "-"))</f>
        <v/>
      </c>
      <c r="Y37" s="1" t="str">
        <f>IF(VLOOKUP($C37,Intermediate!$C$2:$R$208,7,FALSE)=I37, "", IF(I37="x","+", "-"))</f>
        <v/>
      </c>
      <c r="Z37" s="1" t="str">
        <f>IF(VLOOKUP($C37,Intermediate!$C$2:$R$208,8,FALSE)=J37, "", IF(J37="x","+", "-"))</f>
        <v/>
      </c>
      <c r="AA37" s="1" t="str">
        <f>IF(VLOOKUP($C37,Intermediate!$C$2:$R$208,9,FALSE)=K37, "", IF(K37="x","+", "-"))</f>
        <v/>
      </c>
      <c r="AB37" s="1" t="str">
        <f>IF(VLOOKUP($C37,Intermediate!$C$2:$R$208,10,FALSE)=L37, "", IF(L37="x","+", "-"))</f>
        <v/>
      </c>
      <c r="AC37" s="1" t="str">
        <f>IF(VLOOKUP($C37,Intermediate!$C$2:$R$208,11,FALSE)=M37, "", IF(M37="x","+", "-"))</f>
        <v/>
      </c>
      <c r="AD37" s="1" t="str">
        <f>IF(VLOOKUP($C37,Intermediate!$C$2:$R$208,12,FALSE)=N37, "", IF(N37="x","+", "-"))</f>
        <v/>
      </c>
      <c r="AE37" s="1" t="str">
        <f>IF(VLOOKUP($C37,Intermediate!$C$2:$R$208,13,FALSE)=O37, "", IF(O37="x","+", "-"))</f>
        <v/>
      </c>
      <c r="AF37" s="1" t="str">
        <f>IF(VLOOKUP($C37,Intermediate!$C$2:$R$208,14,FALSE)=P37, "", IF(P37="x","+", "-"))</f>
        <v/>
      </c>
      <c r="AG37" s="1" t="str">
        <f>IF(VLOOKUP($C37,Intermediate!$C$2:$R$208,15,FALSE)=Q37, "", IF(Q37="x","+", "-"))</f>
        <v/>
      </c>
      <c r="AH37" s="1" t="str">
        <f>IF(VLOOKUP($C37,Intermediate!$C$2:$R$208,16,FALSE)=R37, "", IF(R37="x","+", "-"))</f>
        <v/>
      </c>
    </row>
    <row r="38" spans="1:34" ht="15" customHeight="1" x14ac:dyDescent="0.2">
      <c r="A38" s="1" t="s">
        <v>101</v>
      </c>
      <c r="B38" s="1" t="s">
        <v>18</v>
      </c>
      <c r="C38" s="9" t="str">
        <f t="shared" si="0"/>
        <v>RUG Compiler Construction</v>
      </c>
      <c r="D38" s="5"/>
      <c r="E38" s="5"/>
      <c r="F38" s="4"/>
      <c r="G38" s="4"/>
      <c r="H38" s="4"/>
      <c r="I38" s="5"/>
      <c r="J38" s="5"/>
      <c r="K38" s="5"/>
      <c r="L38" s="12"/>
      <c r="M38" s="12"/>
      <c r="N38" s="12"/>
      <c r="O38" s="5"/>
      <c r="P38" s="5"/>
      <c r="Q38" s="15"/>
      <c r="R38" s="5" t="s">
        <v>19</v>
      </c>
      <c r="S38" s="1"/>
      <c r="T38" s="1" t="str">
        <f>IF(VLOOKUP($C38,Intermediate!$C$2:$R$208,2,FALSE)=D38, "", IF(D38="x","+", "-"))</f>
        <v/>
      </c>
      <c r="U38" s="1" t="str">
        <f>IF(VLOOKUP($C38,Intermediate!$C$2:$R$208,3,FALSE)=E38, "", IF(E38="x","+", "-"))</f>
        <v/>
      </c>
      <c r="V38" s="1" t="str">
        <f>IF(VLOOKUP($C38,Intermediate!$C$2:$R$208,4,FALSE)=F38, "", IF(F38="x","+", "-"))</f>
        <v/>
      </c>
      <c r="W38" s="1" t="str">
        <f>IF(VLOOKUP($C38,Intermediate!$C$2:$R$208,5,FALSE)=G38, "", IF(G38="x","+", "-"))</f>
        <v/>
      </c>
      <c r="X38" s="1" t="str">
        <f>IF(VLOOKUP($C38,Intermediate!$C$2:$R$208,6,FALSE)=H38, "", IF(H38="x","+", "-"))</f>
        <v/>
      </c>
      <c r="Y38" s="1" t="str">
        <f>IF(VLOOKUP($C38,Intermediate!$C$2:$R$208,7,FALSE)=I38, "", IF(I38="x","+", "-"))</f>
        <v/>
      </c>
      <c r="Z38" s="1" t="str">
        <f>IF(VLOOKUP($C38,Intermediate!$C$2:$R$208,8,FALSE)=J38, "", IF(J38="x","+", "-"))</f>
        <v/>
      </c>
      <c r="AA38" s="1" t="str">
        <f>IF(VLOOKUP($C38,Intermediate!$C$2:$R$208,9,FALSE)=K38, "", IF(K38="x","+", "-"))</f>
        <v/>
      </c>
      <c r="AB38" s="1" t="str">
        <f>IF(VLOOKUP($C38,Intermediate!$C$2:$R$208,10,FALSE)=L38, "", IF(L38="x","+", "-"))</f>
        <v/>
      </c>
      <c r="AC38" s="1" t="str">
        <f>IF(VLOOKUP($C38,Intermediate!$C$2:$R$208,11,FALSE)=M38, "", IF(M38="x","+", "-"))</f>
        <v/>
      </c>
      <c r="AD38" s="1" t="str">
        <f>IF(VLOOKUP($C38,Intermediate!$C$2:$R$208,12,FALSE)=N38, "", IF(N38="x","+", "-"))</f>
        <v/>
      </c>
      <c r="AE38" s="1" t="str">
        <f>IF(VLOOKUP($C38,Intermediate!$C$2:$R$208,13,FALSE)=O38, "", IF(O38="x","+", "-"))</f>
        <v/>
      </c>
      <c r="AF38" s="1" t="str">
        <f>IF(VLOOKUP($C38,Intermediate!$C$2:$R$208,14,FALSE)=P38, "", IF(P38="x","+", "-"))</f>
        <v/>
      </c>
      <c r="AG38" s="1" t="str">
        <f>IF(VLOOKUP($C38,Intermediate!$C$2:$R$208,15,FALSE)=Q38, "", IF(Q38="x","+", "-"))</f>
        <v/>
      </c>
      <c r="AH38" s="1" t="str">
        <f>IF(VLOOKUP($C38,Intermediate!$C$2:$R$208,16,FALSE)=R38, "", IF(R38="x","+", "-"))</f>
        <v/>
      </c>
    </row>
    <row r="39" spans="1:34" ht="15" customHeight="1" x14ac:dyDescent="0.2">
      <c r="A39" s="1" t="s">
        <v>86</v>
      </c>
      <c r="B39" s="1" t="s">
        <v>18</v>
      </c>
      <c r="C39" s="9" t="str">
        <f t="shared" si="0"/>
        <v>RUG Functional Programming</v>
      </c>
      <c r="D39" s="5"/>
      <c r="E39" s="5"/>
      <c r="F39" s="12"/>
      <c r="G39" s="5" t="s">
        <v>19</v>
      </c>
      <c r="H39" s="12"/>
      <c r="I39" s="5"/>
      <c r="J39" s="5"/>
      <c r="K39" s="12"/>
      <c r="L39" s="4"/>
      <c r="M39" s="15"/>
      <c r="N39" s="4"/>
      <c r="O39" s="5"/>
      <c r="P39" s="5"/>
      <c r="Q39" s="4"/>
      <c r="R39" s="5"/>
      <c r="S39" s="1"/>
      <c r="T39" s="1" t="str">
        <f>IF(VLOOKUP($C39,Intermediate!$C$2:$R$208,2,FALSE)=D39, "", IF(D39="x","+", "-"))</f>
        <v/>
      </c>
      <c r="U39" s="1" t="str">
        <f>IF(VLOOKUP($C39,Intermediate!$C$2:$R$208,3,FALSE)=E39, "", IF(E39="x","+", "-"))</f>
        <v/>
      </c>
      <c r="V39" s="1" t="str">
        <f>IF(VLOOKUP($C39,Intermediate!$C$2:$R$208,4,FALSE)=F39, "", IF(F39="x","+", "-"))</f>
        <v/>
      </c>
      <c r="W39" s="1" t="str">
        <f>IF(VLOOKUP($C39,Intermediate!$C$2:$R$208,5,FALSE)=G39, "", IF(G39="x","+", "-"))</f>
        <v/>
      </c>
      <c r="X39" s="1" t="str">
        <f>IF(VLOOKUP($C39,Intermediate!$C$2:$R$208,6,FALSE)=H39, "", IF(H39="x","+", "-"))</f>
        <v/>
      </c>
      <c r="Y39" s="1" t="str">
        <f>IF(VLOOKUP($C39,Intermediate!$C$2:$R$208,7,FALSE)=I39, "", IF(I39="x","+", "-"))</f>
        <v/>
      </c>
      <c r="Z39" s="1" t="str">
        <f>IF(VLOOKUP($C39,Intermediate!$C$2:$R$208,8,FALSE)=J39, "", IF(J39="x","+", "-"))</f>
        <v/>
      </c>
      <c r="AA39" s="1" t="str">
        <f>IF(VLOOKUP($C39,Intermediate!$C$2:$R$208,9,FALSE)=K39, "", IF(K39="x","+", "-"))</f>
        <v/>
      </c>
      <c r="AB39" s="1" t="str">
        <f>IF(VLOOKUP($C39,Intermediate!$C$2:$R$208,10,FALSE)=L39, "", IF(L39="x","+", "-"))</f>
        <v/>
      </c>
      <c r="AC39" s="1" t="str">
        <f>IF(VLOOKUP($C39,Intermediate!$C$2:$R$208,11,FALSE)=M39, "", IF(M39="x","+", "-"))</f>
        <v/>
      </c>
      <c r="AD39" s="1" t="str">
        <f>IF(VLOOKUP($C39,Intermediate!$C$2:$R$208,12,FALSE)=N39, "", IF(N39="x","+", "-"))</f>
        <v/>
      </c>
      <c r="AE39" s="1" t="str">
        <f>IF(VLOOKUP($C39,Intermediate!$C$2:$R$208,13,FALSE)=O39, "", IF(O39="x","+", "-"))</f>
        <v/>
      </c>
      <c r="AF39" s="1" t="str">
        <f>IF(VLOOKUP($C39,Intermediate!$C$2:$R$208,14,FALSE)=P39, "", IF(P39="x","+", "-"))</f>
        <v/>
      </c>
      <c r="AG39" s="1" t="str">
        <f>IF(VLOOKUP($C39,Intermediate!$C$2:$R$208,15,FALSE)=Q39, "", IF(Q39="x","+", "-"))</f>
        <v/>
      </c>
      <c r="AH39" s="1" t="str">
        <f>IF(VLOOKUP($C39,Intermediate!$C$2:$R$208,16,FALSE)=R39, "", IF(R39="x","+", "-"))</f>
        <v/>
      </c>
    </row>
    <row r="40" spans="1:34" ht="15" customHeight="1" x14ac:dyDescent="0.2">
      <c r="A40" s="1" t="s">
        <v>102</v>
      </c>
      <c r="B40" s="1" t="s">
        <v>18</v>
      </c>
      <c r="C40" s="9" t="str">
        <f t="shared" si="0"/>
        <v>RUG Introduction to Scientific Computing</v>
      </c>
      <c r="D40" s="5"/>
      <c r="E40" s="5"/>
      <c r="F40" s="15"/>
      <c r="G40" s="5" t="s">
        <v>19</v>
      </c>
      <c r="H40" s="15"/>
      <c r="I40" s="12"/>
      <c r="J40" s="5"/>
      <c r="K40" s="15"/>
      <c r="L40" s="5"/>
      <c r="M40" s="15"/>
      <c r="N40" s="5"/>
      <c r="O40" s="5"/>
      <c r="P40" s="5"/>
      <c r="Q40" s="5"/>
      <c r="R40" s="5"/>
      <c r="S40" s="1"/>
      <c r="T40" s="1" t="str">
        <f>IF(VLOOKUP($C40,Intermediate!$C$2:$R$208,2,FALSE)=D40, "", IF(D40="x","+", "-"))</f>
        <v/>
      </c>
      <c r="U40" s="1" t="str">
        <f>IF(VLOOKUP($C40,Intermediate!$C$2:$R$208,3,FALSE)=E40, "", IF(E40="x","+", "-"))</f>
        <v/>
      </c>
      <c r="V40" s="1" t="str">
        <f>IF(VLOOKUP($C40,Intermediate!$C$2:$R$208,4,FALSE)=F40, "", IF(F40="x","+", "-"))</f>
        <v/>
      </c>
      <c r="W40" s="1" t="str">
        <f>IF(VLOOKUP($C40,Intermediate!$C$2:$R$208,5,FALSE)=G40, "", IF(G40="x","+", "-"))</f>
        <v/>
      </c>
      <c r="X40" s="1" t="str">
        <f>IF(VLOOKUP($C40,Intermediate!$C$2:$R$208,6,FALSE)=H40, "", IF(H40="x","+", "-"))</f>
        <v/>
      </c>
      <c r="Y40" s="1" t="str">
        <f>IF(VLOOKUP($C40,Intermediate!$C$2:$R$208,7,FALSE)=I40, "", IF(I40="x","+", "-"))</f>
        <v/>
      </c>
      <c r="Z40" s="1" t="str">
        <f>IF(VLOOKUP($C40,Intermediate!$C$2:$R$208,8,FALSE)=J40, "", IF(J40="x","+", "-"))</f>
        <v/>
      </c>
      <c r="AA40" s="1" t="str">
        <f>IF(VLOOKUP($C40,Intermediate!$C$2:$R$208,9,FALSE)=K40, "", IF(K40="x","+", "-"))</f>
        <v/>
      </c>
      <c r="AB40" s="1" t="str">
        <f>IF(VLOOKUP($C40,Intermediate!$C$2:$R$208,10,FALSE)=L40, "", IF(L40="x","+", "-"))</f>
        <v/>
      </c>
      <c r="AC40" s="1" t="str">
        <f>IF(VLOOKUP($C40,Intermediate!$C$2:$R$208,11,FALSE)=M40, "", IF(M40="x","+", "-"))</f>
        <v/>
      </c>
      <c r="AD40" s="1" t="str">
        <f>IF(VLOOKUP($C40,Intermediate!$C$2:$R$208,12,FALSE)=N40, "", IF(N40="x","+", "-"))</f>
        <v/>
      </c>
      <c r="AE40" s="1" t="str">
        <f>IF(VLOOKUP($C40,Intermediate!$C$2:$R$208,13,FALSE)=O40, "", IF(O40="x","+", "-"))</f>
        <v/>
      </c>
      <c r="AF40" s="1" t="str">
        <f>IF(VLOOKUP($C40,Intermediate!$C$2:$R$208,14,FALSE)=P40, "", IF(P40="x","+", "-"))</f>
        <v/>
      </c>
      <c r="AG40" s="1" t="str">
        <f>IF(VLOOKUP($C40,Intermediate!$C$2:$R$208,15,FALSE)=Q40, "", IF(Q40="x","+", "-"))</f>
        <v/>
      </c>
      <c r="AH40" s="1" t="str">
        <f>IF(VLOOKUP($C40,Intermediate!$C$2:$R$208,16,FALSE)=R40, "", IF(R40="x","+", "-"))</f>
        <v/>
      </c>
    </row>
    <row r="41" spans="1:34" ht="15" customHeight="1" x14ac:dyDescent="0.2">
      <c r="A41" s="1" t="s">
        <v>103</v>
      </c>
      <c r="B41" s="1" t="s">
        <v>18</v>
      </c>
      <c r="C41" s="9" t="str">
        <f t="shared" si="0"/>
        <v>RUG Object-Oriented Programming (for CS)</v>
      </c>
      <c r="D41" s="5"/>
      <c r="E41" s="12"/>
      <c r="F41" s="11"/>
      <c r="G41" s="12" t="s">
        <v>19</v>
      </c>
      <c r="H41" s="4"/>
      <c r="I41" s="15"/>
      <c r="J41" s="5"/>
      <c r="K41" s="4"/>
      <c r="L41" s="5"/>
      <c r="M41" s="15"/>
      <c r="N41" s="5" t="s">
        <v>19</v>
      </c>
      <c r="O41" s="5"/>
      <c r="P41" s="5"/>
      <c r="Q41" s="5"/>
      <c r="R41" s="5"/>
      <c r="S41" s="7"/>
      <c r="T41" s="1" t="str">
        <f>IF(VLOOKUP($C41,Intermediate!$C$2:$R$208,2,FALSE)=D41, "", IF(D41="x","+", "-"))</f>
        <v/>
      </c>
      <c r="U41" s="1" t="str">
        <f>IF(VLOOKUP($C41,Intermediate!$C$2:$R$208,3,FALSE)=E41, "", IF(E41="x","+", "-"))</f>
        <v/>
      </c>
      <c r="V41" s="1" t="str">
        <f>IF(VLOOKUP($C41,Intermediate!$C$2:$R$208,4,FALSE)=F41, "", IF(F41="x","+", "-"))</f>
        <v/>
      </c>
      <c r="W41" s="1" t="str">
        <f>IF(VLOOKUP($C41,Intermediate!$C$2:$R$208,5,FALSE)=G41, "", IF(G41="x","+", "-"))</f>
        <v/>
      </c>
      <c r="X41" s="1" t="str">
        <f>IF(VLOOKUP($C41,Intermediate!$C$2:$R$208,6,FALSE)=H41, "", IF(H41="x","+", "-"))</f>
        <v/>
      </c>
      <c r="Y41" s="1" t="str">
        <f>IF(VLOOKUP($C41,Intermediate!$C$2:$R$208,7,FALSE)=I41, "", IF(I41="x","+", "-"))</f>
        <v/>
      </c>
      <c r="Z41" s="1" t="str">
        <f>IF(VLOOKUP($C41,Intermediate!$C$2:$R$208,8,FALSE)=J41, "", IF(J41="x","+", "-"))</f>
        <v/>
      </c>
      <c r="AA41" s="1" t="str">
        <f>IF(VLOOKUP($C41,Intermediate!$C$2:$R$208,9,FALSE)=K41, "", IF(K41="x","+", "-"))</f>
        <v/>
      </c>
      <c r="AB41" s="1" t="str">
        <f>IF(VLOOKUP($C41,Intermediate!$C$2:$R$208,10,FALSE)=L41, "", IF(L41="x","+", "-"))</f>
        <v/>
      </c>
      <c r="AC41" s="1" t="str">
        <f>IF(VLOOKUP($C41,Intermediate!$C$2:$R$208,11,FALSE)=M41, "", IF(M41="x","+", "-"))</f>
        <v/>
      </c>
      <c r="AD41" s="1" t="str">
        <f>IF(VLOOKUP($C41,Intermediate!$C$2:$R$208,12,FALSE)=N41, "", IF(N41="x","+", "-"))</f>
        <v/>
      </c>
      <c r="AE41" s="1" t="str">
        <f>IF(VLOOKUP($C41,Intermediate!$C$2:$R$208,13,FALSE)=O41, "", IF(O41="x","+", "-"))</f>
        <v/>
      </c>
      <c r="AF41" s="1" t="str">
        <f>IF(VLOOKUP($C41,Intermediate!$C$2:$R$208,14,FALSE)=P41, "", IF(P41="x","+", "-"))</f>
        <v/>
      </c>
      <c r="AG41" s="1" t="str">
        <f>IF(VLOOKUP($C41,Intermediate!$C$2:$R$208,15,FALSE)=Q41, "", IF(Q41="x","+", "-"))</f>
        <v/>
      </c>
      <c r="AH41" s="1" t="str">
        <f>IF(VLOOKUP($C41,Intermediate!$C$2:$R$208,16,FALSE)=R41, "", IF(R41="x","+", "-"))</f>
        <v/>
      </c>
    </row>
    <row r="42" spans="1:34" ht="15" customHeight="1" x14ac:dyDescent="0.2">
      <c r="A42" s="1" t="s">
        <v>104</v>
      </c>
      <c r="B42" s="1" t="s">
        <v>18</v>
      </c>
      <c r="C42" s="9" t="str">
        <f t="shared" si="0"/>
        <v>RUG Parallel Computing</v>
      </c>
      <c r="D42" s="5"/>
      <c r="E42" s="4"/>
      <c r="F42" s="5"/>
      <c r="G42" s="4" t="s">
        <v>19</v>
      </c>
      <c r="H42" s="5"/>
      <c r="I42" s="15"/>
      <c r="J42" s="5"/>
      <c r="K42" s="12"/>
      <c r="L42" s="5"/>
      <c r="M42" s="15"/>
      <c r="N42" s="12"/>
      <c r="O42" s="5"/>
      <c r="P42" s="5"/>
      <c r="Q42" s="5"/>
      <c r="R42" s="5"/>
      <c r="S42" s="7"/>
      <c r="T42" s="1" t="str">
        <f>IF(VLOOKUP($C42,Intermediate!$C$2:$R$208,2,FALSE)=D42, "", IF(D42="x","+", "-"))</f>
        <v/>
      </c>
      <c r="U42" s="1" t="str">
        <f>IF(VLOOKUP($C42,Intermediate!$C$2:$R$208,3,FALSE)=E42, "", IF(E42="x","+", "-"))</f>
        <v/>
      </c>
      <c r="V42" s="1" t="str">
        <f>IF(VLOOKUP($C42,Intermediate!$C$2:$R$208,4,FALSE)=F42, "", IF(F42="x","+", "-"))</f>
        <v/>
      </c>
      <c r="W42" s="1" t="str">
        <f>IF(VLOOKUP($C42,Intermediate!$C$2:$R$208,5,FALSE)=G42, "", IF(G42="x","+", "-"))</f>
        <v/>
      </c>
      <c r="X42" s="1" t="str">
        <f>IF(VLOOKUP($C42,Intermediate!$C$2:$R$208,6,FALSE)=H42, "", IF(H42="x","+", "-"))</f>
        <v/>
      </c>
      <c r="Y42" s="1" t="str">
        <f>IF(VLOOKUP($C42,Intermediate!$C$2:$R$208,7,FALSE)=I42, "", IF(I42="x","+", "-"))</f>
        <v/>
      </c>
      <c r="Z42" s="1" t="str">
        <f>IF(VLOOKUP($C42,Intermediate!$C$2:$R$208,8,FALSE)=J42, "", IF(J42="x","+", "-"))</f>
        <v/>
      </c>
      <c r="AA42" s="1" t="str">
        <f>IF(VLOOKUP($C42,Intermediate!$C$2:$R$208,9,FALSE)=K42, "", IF(K42="x","+", "-"))</f>
        <v/>
      </c>
      <c r="AB42" s="1" t="str">
        <f>IF(VLOOKUP($C42,Intermediate!$C$2:$R$208,10,FALSE)=L42, "", IF(L42="x","+", "-"))</f>
        <v/>
      </c>
      <c r="AC42" s="1" t="str">
        <f>IF(VLOOKUP($C42,Intermediate!$C$2:$R$208,11,FALSE)=M42, "", IF(M42="x","+", "-"))</f>
        <v/>
      </c>
      <c r="AD42" s="1" t="str">
        <f>IF(VLOOKUP($C42,Intermediate!$C$2:$R$208,12,FALSE)=N42, "", IF(N42="x","+", "-"))</f>
        <v/>
      </c>
      <c r="AE42" s="1" t="str">
        <f>IF(VLOOKUP($C42,Intermediate!$C$2:$R$208,13,FALSE)=O42, "", IF(O42="x","+", "-"))</f>
        <v/>
      </c>
      <c r="AF42" s="1" t="str">
        <f>IF(VLOOKUP($C42,Intermediate!$C$2:$R$208,14,FALSE)=P42, "", IF(P42="x","+", "-"))</f>
        <v/>
      </c>
      <c r="AG42" s="1" t="str">
        <f>IF(VLOOKUP($C42,Intermediate!$C$2:$R$208,15,FALSE)=Q42, "", IF(Q42="x","+", "-"))</f>
        <v/>
      </c>
      <c r="AH42" s="1" t="str">
        <f>IF(VLOOKUP($C42,Intermediate!$C$2:$R$208,16,FALSE)=R42, "", IF(R42="x","+", "-"))</f>
        <v/>
      </c>
    </row>
    <row r="43" spans="1:34" ht="15" customHeight="1" x14ac:dyDescent="0.2">
      <c r="A43" s="1" t="s">
        <v>105</v>
      </c>
      <c r="B43" s="1" t="s">
        <v>18</v>
      </c>
      <c r="C43" s="9" t="str">
        <f t="shared" si="0"/>
        <v>RUG Problem Analysis and Software Design</v>
      </c>
      <c r="D43" s="5" t="s">
        <v>19</v>
      </c>
      <c r="E43" s="5"/>
      <c r="F43" s="5" t="s">
        <v>19</v>
      </c>
      <c r="G43" s="12"/>
      <c r="H43" s="5"/>
      <c r="I43" s="4"/>
      <c r="J43" s="5"/>
      <c r="K43" s="4"/>
      <c r="L43" s="5"/>
      <c r="M43" s="4"/>
      <c r="N43" s="4"/>
      <c r="O43" s="5"/>
      <c r="P43" s="5"/>
      <c r="Q43" s="5"/>
      <c r="R43" s="12"/>
      <c r="S43" s="7"/>
      <c r="T43" s="1" t="str">
        <f>IF(VLOOKUP($C43,Intermediate!$C$2:$R$208,2,FALSE)=D43, "", IF(D43="x","+", "-"))</f>
        <v/>
      </c>
      <c r="U43" s="1" t="str">
        <f>IF(VLOOKUP($C43,Intermediate!$C$2:$R$208,3,FALSE)=E43, "", IF(E43="x","+", "-"))</f>
        <v/>
      </c>
      <c r="V43" s="1" t="str">
        <f>IF(VLOOKUP($C43,Intermediate!$C$2:$R$208,4,FALSE)=F43, "", IF(F43="x","+", "-"))</f>
        <v/>
      </c>
      <c r="W43" s="1" t="str">
        <f>IF(VLOOKUP($C43,Intermediate!$C$2:$R$208,5,FALSE)=G43, "", IF(G43="x","+", "-"))</f>
        <v/>
      </c>
      <c r="X43" s="1" t="str">
        <f>IF(VLOOKUP($C43,Intermediate!$C$2:$R$208,6,FALSE)=H43, "", IF(H43="x","+", "-"))</f>
        <v/>
      </c>
      <c r="Y43" s="1" t="str">
        <f>IF(VLOOKUP($C43,Intermediate!$C$2:$R$208,7,FALSE)=I43, "", IF(I43="x","+", "-"))</f>
        <v/>
      </c>
      <c r="Z43" s="1" t="str">
        <f>IF(VLOOKUP($C43,Intermediate!$C$2:$R$208,8,FALSE)=J43, "", IF(J43="x","+", "-"))</f>
        <v/>
      </c>
      <c r="AA43" s="1" t="str">
        <f>IF(VLOOKUP($C43,Intermediate!$C$2:$R$208,9,FALSE)=K43, "", IF(K43="x","+", "-"))</f>
        <v/>
      </c>
      <c r="AB43" s="1" t="str">
        <f>IF(VLOOKUP($C43,Intermediate!$C$2:$R$208,10,FALSE)=L43, "", IF(L43="x","+", "-"))</f>
        <v/>
      </c>
      <c r="AC43" s="1" t="str">
        <f>IF(VLOOKUP($C43,Intermediate!$C$2:$R$208,11,FALSE)=M43, "", IF(M43="x","+", "-"))</f>
        <v/>
      </c>
      <c r="AD43" s="1" t="str">
        <f>IF(VLOOKUP($C43,Intermediate!$C$2:$R$208,12,FALSE)=N43, "", IF(N43="x","+", "-"))</f>
        <v/>
      </c>
      <c r="AE43" s="1" t="str">
        <f>IF(VLOOKUP($C43,Intermediate!$C$2:$R$208,13,FALSE)=O43, "", IF(O43="x","+", "-"))</f>
        <v/>
      </c>
      <c r="AF43" s="1" t="str">
        <f>IF(VLOOKUP($C43,Intermediate!$C$2:$R$208,14,FALSE)=P43, "", IF(P43="x","+", "-"))</f>
        <v/>
      </c>
      <c r="AG43" s="1" t="str">
        <f>IF(VLOOKUP($C43,Intermediate!$C$2:$R$208,15,FALSE)=Q43, "", IF(Q43="x","+", "-"))</f>
        <v/>
      </c>
      <c r="AH43" s="1" t="str">
        <f>IF(VLOOKUP($C43,Intermediate!$C$2:$R$208,16,FALSE)=R43, "", IF(R43="x","+", "-"))</f>
        <v/>
      </c>
    </row>
    <row r="44" spans="1:34" ht="15" customHeight="1" x14ac:dyDescent="0.2">
      <c r="A44" s="1" t="s">
        <v>106</v>
      </c>
      <c r="B44" s="1" t="s">
        <v>18</v>
      </c>
      <c r="C44" s="9" t="str">
        <f t="shared" si="0"/>
        <v>RUG Program Correctness</v>
      </c>
      <c r="D44" s="5"/>
      <c r="E44" s="5"/>
      <c r="F44" s="12"/>
      <c r="G44" s="4"/>
      <c r="H44" s="12"/>
      <c r="I44" s="12"/>
      <c r="J44" s="5"/>
      <c r="K44" s="12"/>
      <c r="L44" s="5"/>
      <c r="M44" s="5"/>
      <c r="N44" s="5"/>
      <c r="O44" s="5" t="s">
        <v>19</v>
      </c>
      <c r="P44" s="5"/>
      <c r="Q44" s="5" t="s">
        <v>19</v>
      </c>
      <c r="R44" s="4"/>
      <c r="S44" s="7"/>
      <c r="T44" s="1" t="str">
        <f>IF(VLOOKUP($C44,Intermediate!$C$2:$R$208,2,FALSE)=D44, "", IF(D44="x","+", "-"))</f>
        <v/>
      </c>
      <c r="U44" s="1" t="str">
        <f>IF(VLOOKUP($C44,Intermediate!$C$2:$R$208,3,FALSE)=E44, "", IF(E44="x","+", "-"))</f>
        <v/>
      </c>
      <c r="V44" s="1" t="str">
        <f>IF(VLOOKUP($C44,Intermediate!$C$2:$R$208,4,FALSE)=F44, "", IF(F44="x","+", "-"))</f>
        <v/>
      </c>
      <c r="W44" s="1" t="str">
        <f>IF(VLOOKUP($C44,Intermediate!$C$2:$R$208,5,FALSE)=G44, "", IF(G44="x","+", "-"))</f>
        <v/>
      </c>
      <c r="X44" s="1" t="str">
        <f>IF(VLOOKUP($C44,Intermediate!$C$2:$R$208,6,FALSE)=H44, "", IF(H44="x","+", "-"))</f>
        <v/>
      </c>
      <c r="Y44" s="1" t="str">
        <f>IF(VLOOKUP($C44,Intermediate!$C$2:$R$208,7,FALSE)=I44, "", IF(I44="x","+", "-"))</f>
        <v/>
      </c>
      <c r="Z44" s="1" t="str">
        <f>IF(VLOOKUP($C44,Intermediate!$C$2:$R$208,8,FALSE)=J44, "", IF(J44="x","+", "-"))</f>
        <v/>
      </c>
      <c r="AA44" s="1" t="str">
        <f>IF(VLOOKUP($C44,Intermediate!$C$2:$R$208,9,FALSE)=K44, "", IF(K44="x","+", "-"))</f>
        <v/>
      </c>
      <c r="AB44" s="1" t="str">
        <f>IF(VLOOKUP($C44,Intermediate!$C$2:$R$208,10,FALSE)=L44, "", IF(L44="x","+", "-"))</f>
        <v/>
      </c>
      <c r="AC44" s="1" t="str">
        <f>IF(VLOOKUP($C44,Intermediate!$C$2:$R$208,11,FALSE)=M44, "", IF(M44="x","+", "-"))</f>
        <v/>
      </c>
      <c r="AD44" s="1" t="str">
        <f>IF(VLOOKUP($C44,Intermediate!$C$2:$R$208,12,FALSE)=N44, "", IF(N44="x","+", "-"))</f>
        <v/>
      </c>
      <c r="AE44" s="1" t="str">
        <f>IF(VLOOKUP($C44,Intermediate!$C$2:$R$208,13,FALSE)=O44, "", IF(O44="x","+", "-"))</f>
        <v/>
      </c>
      <c r="AF44" s="1" t="str">
        <f>IF(VLOOKUP($C44,Intermediate!$C$2:$R$208,14,FALSE)=P44, "", IF(P44="x","+", "-"))</f>
        <v/>
      </c>
      <c r="AG44" s="1" t="str">
        <f>IF(VLOOKUP($C44,Intermediate!$C$2:$R$208,15,FALSE)=Q44, "", IF(Q44="x","+", "-"))</f>
        <v/>
      </c>
      <c r="AH44" s="1" t="str">
        <f>IF(VLOOKUP($C44,Intermediate!$C$2:$R$208,16,FALSE)=R44, "", IF(R44="x","+", "-"))</f>
        <v/>
      </c>
    </row>
    <row r="45" spans="1:34" ht="15" customHeight="1" x14ac:dyDescent="0.2">
      <c r="A45" s="1" t="s">
        <v>107</v>
      </c>
      <c r="B45" s="1" t="s">
        <v>18</v>
      </c>
      <c r="C45" s="9" t="str">
        <f t="shared" si="0"/>
        <v>RUG Programming in C++</v>
      </c>
      <c r="D45" s="5"/>
      <c r="E45" s="5"/>
      <c r="F45" s="4"/>
      <c r="G45" s="5" t="s">
        <v>19</v>
      </c>
      <c r="H45" s="4"/>
      <c r="I45" s="4"/>
      <c r="J45" s="5"/>
      <c r="K45" s="4"/>
      <c r="L45" s="5"/>
      <c r="M45" s="5"/>
      <c r="N45" s="5"/>
      <c r="O45" s="5"/>
      <c r="P45" s="5"/>
      <c r="Q45" s="5"/>
      <c r="R45" s="5"/>
      <c r="S45" s="7"/>
      <c r="T45" s="1" t="str">
        <f>IF(VLOOKUP($C45,Intermediate!$C$2:$R$208,2,FALSE)=D45, "", IF(D45="x","+", "-"))</f>
        <v/>
      </c>
      <c r="U45" s="1" t="str">
        <f>IF(VLOOKUP($C45,Intermediate!$C$2:$R$208,3,FALSE)=E45, "", IF(E45="x","+", "-"))</f>
        <v/>
      </c>
      <c r="V45" s="1" t="str">
        <f>IF(VLOOKUP($C45,Intermediate!$C$2:$R$208,4,FALSE)=F45, "", IF(F45="x","+", "-"))</f>
        <v/>
      </c>
      <c r="W45" s="1" t="str">
        <f>IF(VLOOKUP($C45,Intermediate!$C$2:$R$208,5,FALSE)=G45, "", IF(G45="x","+", "-"))</f>
        <v/>
      </c>
      <c r="X45" s="1" t="str">
        <f>IF(VLOOKUP($C45,Intermediate!$C$2:$R$208,6,FALSE)=H45, "", IF(H45="x","+", "-"))</f>
        <v/>
      </c>
      <c r="Y45" s="1" t="str">
        <f>IF(VLOOKUP($C45,Intermediate!$C$2:$R$208,7,FALSE)=I45, "", IF(I45="x","+", "-"))</f>
        <v/>
      </c>
      <c r="Z45" s="1" t="str">
        <f>IF(VLOOKUP($C45,Intermediate!$C$2:$R$208,8,FALSE)=J45, "", IF(J45="x","+", "-"))</f>
        <v/>
      </c>
      <c r="AA45" s="1" t="str">
        <f>IF(VLOOKUP($C45,Intermediate!$C$2:$R$208,9,FALSE)=K45, "", IF(K45="x","+", "-"))</f>
        <v/>
      </c>
      <c r="AB45" s="1" t="str">
        <f>IF(VLOOKUP($C45,Intermediate!$C$2:$R$208,10,FALSE)=L45, "", IF(L45="x","+", "-"))</f>
        <v/>
      </c>
      <c r="AC45" s="1" t="str">
        <f>IF(VLOOKUP($C45,Intermediate!$C$2:$R$208,11,FALSE)=M45, "", IF(M45="x","+", "-"))</f>
        <v/>
      </c>
      <c r="AD45" s="1" t="str">
        <f>IF(VLOOKUP($C45,Intermediate!$C$2:$R$208,12,FALSE)=N45, "", IF(N45="x","+", "-"))</f>
        <v/>
      </c>
      <c r="AE45" s="1" t="str">
        <f>IF(VLOOKUP($C45,Intermediate!$C$2:$R$208,13,FALSE)=O45, "", IF(O45="x","+", "-"))</f>
        <v/>
      </c>
      <c r="AF45" s="1" t="str">
        <f>IF(VLOOKUP($C45,Intermediate!$C$2:$R$208,14,FALSE)=P45, "", IF(P45="x","+", "-"))</f>
        <v/>
      </c>
      <c r="AG45" s="1" t="str">
        <f>IF(VLOOKUP($C45,Intermediate!$C$2:$R$208,15,FALSE)=Q45, "", IF(Q45="x","+", "-"))</f>
        <v/>
      </c>
      <c r="AH45" s="1" t="str">
        <f>IF(VLOOKUP($C45,Intermediate!$C$2:$R$208,16,FALSE)=R45, "", IF(R45="x","+", "-"))</f>
        <v/>
      </c>
    </row>
    <row r="46" spans="1:34" ht="15" customHeight="1" x14ac:dyDescent="0.2">
      <c r="A46" s="1" t="s">
        <v>108</v>
      </c>
      <c r="B46" s="1" t="s">
        <v>18</v>
      </c>
      <c r="C46" s="9" t="str">
        <f t="shared" si="0"/>
        <v>RUG Short programming project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7"/>
      <c r="T46" s="1" t="str">
        <f>IF(VLOOKUP($C46,Intermediate!$C$2:$R$208,2,FALSE)=D46, "", IF(D46="x","+", "-"))</f>
        <v/>
      </c>
      <c r="U46" s="1" t="str">
        <f>IF(VLOOKUP($C46,Intermediate!$C$2:$R$208,3,FALSE)=E46, "", IF(E46="x","+", "-"))</f>
        <v/>
      </c>
      <c r="V46" s="1" t="str">
        <f>IF(VLOOKUP($C46,Intermediate!$C$2:$R$208,4,FALSE)=F46, "", IF(F46="x","+", "-"))</f>
        <v/>
      </c>
      <c r="W46" s="1" t="str">
        <f>IF(VLOOKUP($C46,Intermediate!$C$2:$R$208,5,FALSE)=G46, "", IF(G46="x","+", "-"))</f>
        <v/>
      </c>
      <c r="X46" s="1" t="str">
        <f>IF(VLOOKUP($C46,Intermediate!$C$2:$R$208,6,FALSE)=H46, "", IF(H46="x","+", "-"))</f>
        <v/>
      </c>
      <c r="Y46" s="1" t="str">
        <f>IF(VLOOKUP($C46,Intermediate!$C$2:$R$208,7,FALSE)=I46, "", IF(I46="x","+", "-"))</f>
        <v/>
      </c>
      <c r="Z46" s="1" t="str">
        <f>IF(VLOOKUP($C46,Intermediate!$C$2:$R$208,8,FALSE)=J46, "", IF(J46="x","+", "-"))</f>
        <v/>
      </c>
      <c r="AA46" s="1" t="str">
        <f>IF(VLOOKUP($C46,Intermediate!$C$2:$R$208,9,FALSE)=K46, "", IF(K46="x","+", "-"))</f>
        <v/>
      </c>
      <c r="AB46" s="1" t="str">
        <f>IF(VLOOKUP($C46,Intermediate!$C$2:$R$208,10,FALSE)=L46, "", IF(L46="x","+", "-"))</f>
        <v/>
      </c>
      <c r="AC46" s="1" t="str">
        <f>IF(VLOOKUP($C46,Intermediate!$C$2:$R$208,11,FALSE)=M46, "", IF(M46="x","+", "-"))</f>
        <v/>
      </c>
      <c r="AD46" s="1" t="str">
        <f>IF(VLOOKUP($C46,Intermediate!$C$2:$R$208,12,FALSE)=N46, "", IF(N46="x","+", "-"))</f>
        <v/>
      </c>
      <c r="AE46" s="1" t="str">
        <f>IF(VLOOKUP($C46,Intermediate!$C$2:$R$208,13,FALSE)=O46, "", IF(O46="x","+", "-"))</f>
        <v/>
      </c>
      <c r="AF46" s="1" t="str">
        <f>IF(VLOOKUP($C46,Intermediate!$C$2:$R$208,14,FALSE)=P46, "", IF(P46="x","+", "-"))</f>
        <v/>
      </c>
      <c r="AG46" s="1" t="str">
        <f>IF(VLOOKUP($C46,Intermediate!$C$2:$R$208,15,FALSE)=Q46, "", IF(Q46="x","+", "-"))</f>
        <v/>
      </c>
      <c r="AH46" s="1" t="str">
        <f>IF(VLOOKUP($C46,Intermediate!$C$2:$R$208,16,FALSE)=R46, "", IF(R46="x","+", "-"))</f>
        <v/>
      </c>
    </row>
    <row r="47" spans="1:34" ht="15" customHeight="1" x14ac:dyDescent="0.2">
      <c r="A47" s="1" t="s">
        <v>90</v>
      </c>
      <c r="B47" s="1" t="s">
        <v>18</v>
      </c>
      <c r="C47" s="9" t="str">
        <f t="shared" si="0"/>
        <v>RUG Software Engineering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12"/>
      <c r="R47" s="5"/>
      <c r="S47" s="1"/>
      <c r="T47" s="1" t="str">
        <f>IF(VLOOKUP($C47,Intermediate!$C$2:$R$208,2,FALSE)=D47, "", IF(D47="x","+", "-"))</f>
        <v/>
      </c>
      <c r="U47" s="1" t="str">
        <f>IF(VLOOKUP($C47,Intermediate!$C$2:$R$208,3,FALSE)=E47, "", IF(E47="x","+", "-"))</f>
        <v/>
      </c>
      <c r="V47" s="1" t="str">
        <f>IF(VLOOKUP($C47,Intermediate!$C$2:$R$208,4,FALSE)=F47, "", IF(F47="x","+", "-"))</f>
        <v/>
      </c>
      <c r="W47" s="1" t="str">
        <f>IF(VLOOKUP($C47,Intermediate!$C$2:$R$208,5,FALSE)=G47, "", IF(G47="x","+", "-"))</f>
        <v/>
      </c>
      <c r="X47" s="1" t="str">
        <f>IF(VLOOKUP($C47,Intermediate!$C$2:$R$208,6,FALSE)=H47, "", IF(H47="x","+", "-"))</f>
        <v/>
      </c>
      <c r="Y47" s="1" t="str">
        <f>IF(VLOOKUP($C47,Intermediate!$C$2:$R$208,7,FALSE)=I47, "", IF(I47="x","+", "-"))</f>
        <v/>
      </c>
      <c r="Z47" s="1" t="str">
        <f>IF(VLOOKUP($C47,Intermediate!$C$2:$R$208,8,FALSE)=J47, "", IF(J47="x","+", "-"))</f>
        <v/>
      </c>
      <c r="AA47" s="1" t="str">
        <f>IF(VLOOKUP($C47,Intermediate!$C$2:$R$208,9,FALSE)=K47, "", IF(K47="x","+", "-"))</f>
        <v/>
      </c>
      <c r="AB47" s="1" t="str">
        <f>IF(VLOOKUP($C47,Intermediate!$C$2:$R$208,10,FALSE)=L47, "", IF(L47="x","+", "-"))</f>
        <v/>
      </c>
      <c r="AC47" s="1" t="str">
        <f>IF(VLOOKUP($C47,Intermediate!$C$2:$R$208,11,FALSE)=M47, "", IF(M47="x","+", "-"))</f>
        <v/>
      </c>
      <c r="AD47" s="1" t="str">
        <f>IF(VLOOKUP($C47,Intermediate!$C$2:$R$208,12,FALSE)=N47, "", IF(N47="x","+", "-"))</f>
        <v/>
      </c>
      <c r="AE47" s="1" t="str">
        <f>IF(VLOOKUP($C47,Intermediate!$C$2:$R$208,13,FALSE)=O47, "", IF(O47="x","+", "-"))</f>
        <v/>
      </c>
      <c r="AF47" s="1" t="str">
        <f>IF(VLOOKUP($C47,Intermediate!$C$2:$R$208,14,FALSE)=P47, "", IF(P47="x","+", "-"))</f>
        <v/>
      </c>
      <c r="AG47" s="1" t="str">
        <f>IF(VLOOKUP($C47,Intermediate!$C$2:$R$208,15,FALSE)=Q47, "", IF(Q47="x","+", "-"))</f>
        <v/>
      </c>
      <c r="AH47" s="1" t="str">
        <f>IF(VLOOKUP($C47,Intermediate!$C$2:$R$208,16,FALSE)=R47, "", IF(R47="x","+", "-"))</f>
        <v/>
      </c>
    </row>
    <row r="48" spans="1:34" ht="15" customHeight="1" x14ac:dyDescent="0.2">
      <c r="A48" s="1" t="s">
        <v>109</v>
      </c>
      <c r="B48" s="1" t="s">
        <v>18</v>
      </c>
      <c r="C48" s="9" t="str">
        <f t="shared" si="0"/>
        <v>RUG Software Language Engineering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4"/>
      <c r="R48" s="5" t="s">
        <v>19</v>
      </c>
      <c r="S48" s="1"/>
      <c r="T48" s="1" t="str">
        <f>IF(VLOOKUP($C48,Intermediate!$C$2:$R$208,2,FALSE)=D48, "", IF(D48="x","+", "-"))</f>
        <v/>
      </c>
      <c r="U48" s="1" t="str">
        <f>IF(VLOOKUP($C48,Intermediate!$C$2:$R$208,3,FALSE)=E48, "", IF(E48="x","+", "-"))</f>
        <v/>
      </c>
      <c r="V48" s="1" t="str">
        <f>IF(VLOOKUP($C48,Intermediate!$C$2:$R$208,4,FALSE)=F48, "", IF(F48="x","+", "-"))</f>
        <v/>
      </c>
      <c r="W48" s="1" t="str">
        <f>IF(VLOOKUP($C48,Intermediate!$C$2:$R$208,5,FALSE)=G48, "", IF(G48="x","+", "-"))</f>
        <v/>
      </c>
      <c r="X48" s="1" t="str">
        <f>IF(VLOOKUP($C48,Intermediate!$C$2:$R$208,6,FALSE)=H48, "", IF(H48="x","+", "-"))</f>
        <v/>
      </c>
      <c r="Y48" s="1" t="str">
        <f>IF(VLOOKUP($C48,Intermediate!$C$2:$R$208,7,FALSE)=I48, "", IF(I48="x","+", "-"))</f>
        <v/>
      </c>
      <c r="Z48" s="1" t="str">
        <f>IF(VLOOKUP($C48,Intermediate!$C$2:$R$208,8,FALSE)=J48, "", IF(J48="x","+", "-"))</f>
        <v/>
      </c>
      <c r="AA48" s="1" t="str">
        <f>IF(VLOOKUP($C48,Intermediate!$C$2:$R$208,9,FALSE)=K48, "", IF(K48="x","+", "-"))</f>
        <v/>
      </c>
      <c r="AB48" s="1" t="str">
        <f>IF(VLOOKUP($C48,Intermediate!$C$2:$R$208,10,FALSE)=L48, "", IF(L48="x","+", "-"))</f>
        <v/>
      </c>
      <c r="AC48" s="1" t="str">
        <f>IF(VLOOKUP($C48,Intermediate!$C$2:$R$208,11,FALSE)=M48, "", IF(M48="x","+", "-"))</f>
        <v/>
      </c>
      <c r="AD48" s="1" t="str">
        <f>IF(VLOOKUP($C48,Intermediate!$C$2:$R$208,12,FALSE)=N48, "", IF(N48="x","+", "-"))</f>
        <v/>
      </c>
      <c r="AE48" s="1" t="str">
        <f>IF(VLOOKUP($C48,Intermediate!$C$2:$R$208,13,FALSE)=O48, "", IF(O48="x","+", "-"))</f>
        <v/>
      </c>
      <c r="AF48" s="1" t="str">
        <f>IF(VLOOKUP($C48,Intermediate!$C$2:$R$208,14,FALSE)=P48, "", IF(P48="x","+", "-"))</f>
        <v/>
      </c>
      <c r="AG48" s="1" t="str">
        <f>IF(VLOOKUP($C48,Intermediate!$C$2:$R$208,15,FALSE)=Q48, "", IF(Q48="x","+", "-"))</f>
        <v/>
      </c>
      <c r="AH48" s="1" t="str">
        <f>IF(VLOOKUP($C48,Intermediate!$C$2:$R$208,16,FALSE)=R48, "", IF(R48="x","+", "-"))</f>
        <v/>
      </c>
    </row>
    <row r="49" spans="1:34" ht="15" customHeight="1" x14ac:dyDescent="0.2">
      <c r="A49" s="1" t="s">
        <v>63</v>
      </c>
      <c r="B49" s="1" t="s">
        <v>18</v>
      </c>
      <c r="C49" s="9" t="str">
        <f t="shared" si="0"/>
        <v>RUG Web Engineering</v>
      </c>
      <c r="D49" s="5"/>
      <c r="E49" s="12" t="s">
        <v>19</v>
      </c>
      <c r="F49" s="5"/>
      <c r="G49" s="5" t="s">
        <v>19</v>
      </c>
      <c r="H49" s="12"/>
      <c r="I49" s="5"/>
      <c r="J49" s="5"/>
      <c r="K49" s="5" t="s">
        <v>19</v>
      </c>
      <c r="L49" s="5"/>
      <c r="M49" s="5"/>
      <c r="N49" s="5" t="s">
        <v>19</v>
      </c>
      <c r="O49" s="5"/>
      <c r="P49" s="5"/>
      <c r="Q49" s="5"/>
      <c r="R49" s="5"/>
      <c r="S49" s="1"/>
      <c r="T49" s="1" t="str">
        <f>IF(VLOOKUP($C49,Intermediate!$C$2:$R$208,2,FALSE)=D49, "", IF(D49="x","+", "-"))</f>
        <v/>
      </c>
      <c r="U49" s="1" t="str">
        <f>IF(VLOOKUP($C49,Intermediate!$C$2:$R$208,3,FALSE)=E49, "", IF(E49="x","+", "-"))</f>
        <v/>
      </c>
      <c r="V49" s="1" t="str">
        <f>IF(VLOOKUP($C49,Intermediate!$C$2:$R$208,4,FALSE)=F49, "", IF(F49="x","+", "-"))</f>
        <v/>
      </c>
      <c r="W49" s="1" t="str">
        <f>IF(VLOOKUP($C49,Intermediate!$C$2:$R$208,5,FALSE)=G49, "", IF(G49="x","+", "-"))</f>
        <v/>
      </c>
      <c r="X49" s="1" t="str">
        <f>IF(VLOOKUP($C49,Intermediate!$C$2:$R$208,6,FALSE)=H49, "", IF(H49="x","+", "-"))</f>
        <v/>
      </c>
      <c r="Y49" s="1" t="str">
        <f>IF(VLOOKUP($C49,Intermediate!$C$2:$R$208,7,FALSE)=I49, "", IF(I49="x","+", "-"))</f>
        <v/>
      </c>
      <c r="Z49" s="1" t="str">
        <f>IF(VLOOKUP($C49,Intermediate!$C$2:$R$208,8,FALSE)=J49, "", IF(J49="x","+", "-"))</f>
        <v/>
      </c>
      <c r="AA49" s="1" t="str">
        <f>IF(VLOOKUP($C49,Intermediate!$C$2:$R$208,9,FALSE)=K49, "", IF(K49="x","+", "-"))</f>
        <v/>
      </c>
      <c r="AB49" s="1" t="str">
        <f>IF(VLOOKUP($C49,Intermediate!$C$2:$R$208,10,FALSE)=L49, "", IF(L49="x","+", "-"))</f>
        <v/>
      </c>
      <c r="AC49" s="1" t="str">
        <f>IF(VLOOKUP($C49,Intermediate!$C$2:$R$208,11,FALSE)=M49, "", IF(M49="x","+", "-"))</f>
        <v/>
      </c>
      <c r="AD49" s="1" t="str">
        <f>IF(VLOOKUP($C49,Intermediate!$C$2:$R$208,12,FALSE)=N49, "", IF(N49="x","+", "-"))</f>
        <v/>
      </c>
      <c r="AE49" s="1" t="str">
        <f>IF(VLOOKUP($C49,Intermediate!$C$2:$R$208,13,FALSE)=O49, "", IF(O49="x","+", "-"))</f>
        <v/>
      </c>
      <c r="AF49" s="1" t="str">
        <f>IF(VLOOKUP($C49,Intermediate!$C$2:$R$208,14,FALSE)=P49, "", IF(P49="x","+", "-"))</f>
        <v/>
      </c>
      <c r="AG49" s="1" t="str">
        <f>IF(VLOOKUP($C49,Intermediate!$C$2:$R$208,15,FALSE)=Q49, "", IF(Q49="x","+", "-"))</f>
        <v/>
      </c>
      <c r="AH49" s="1" t="str">
        <f>IF(VLOOKUP($C49,Intermediate!$C$2:$R$208,16,FALSE)=R49, "", IF(R49="x","+", "-"))</f>
        <v/>
      </c>
    </row>
    <row r="50" spans="1:34" ht="15" customHeight="1" x14ac:dyDescent="0.2">
      <c r="A50" s="1" t="s">
        <v>110</v>
      </c>
      <c r="B50" s="1" t="s">
        <v>18</v>
      </c>
      <c r="C50" s="9" t="str">
        <f t="shared" si="0"/>
        <v>RUG Advanced Parallel Programming</v>
      </c>
      <c r="D50" s="5"/>
      <c r="E50" s="4"/>
      <c r="F50" s="5"/>
      <c r="G50" s="5" t="s">
        <v>19</v>
      </c>
      <c r="H50" s="4"/>
      <c r="I50" s="5"/>
      <c r="J50" s="5"/>
      <c r="K50" s="5"/>
      <c r="L50" s="12"/>
      <c r="M50" s="5"/>
      <c r="N50" s="5"/>
      <c r="O50" s="5"/>
      <c r="P50" s="5"/>
      <c r="Q50" s="5"/>
      <c r="R50" s="5"/>
      <c r="S50" s="1"/>
      <c r="T50" s="1" t="str">
        <f>IF(VLOOKUP($C50,Intermediate!$C$2:$R$208,2,FALSE)=D50, "", IF(D50="x","+", "-"))</f>
        <v/>
      </c>
      <c r="U50" s="1" t="str">
        <f>IF(VLOOKUP($C50,Intermediate!$C$2:$R$208,3,FALSE)=E50, "", IF(E50="x","+", "-"))</f>
        <v/>
      </c>
      <c r="V50" s="1" t="str">
        <f>IF(VLOOKUP($C50,Intermediate!$C$2:$R$208,4,FALSE)=F50, "", IF(F50="x","+", "-"))</f>
        <v/>
      </c>
      <c r="W50" s="1" t="str">
        <f>IF(VLOOKUP($C50,Intermediate!$C$2:$R$208,5,FALSE)=G50, "", IF(G50="x","+", "-"))</f>
        <v/>
      </c>
      <c r="X50" s="1" t="str">
        <f>IF(VLOOKUP($C50,Intermediate!$C$2:$R$208,6,FALSE)=H50, "", IF(H50="x","+", "-"))</f>
        <v/>
      </c>
      <c r="Y50" s="1" t="str">
        <f>IF(VLOOKUP($C50,Intermediate!$C$2:$R$208,7,FALSE)=I50, "", IF(I50="x","+", "-"))</f>
        <v/>
      </c>
      <c r="Z50" s="1" t="str">
        <f>IF(VLOOKUP($C50,Intermediate!$C$2:$R$208,8,FALSE)=J50, "", IF(J50="x","+", "-"))</f>
        <v/>
      </c>
      <c r="AA50" s="1" t="str">
        <f>IF(VLOOKUP($C50,Intermediate!$C$2:$R$208,9,FALSE)=K50, "", IF(K50="x","+", "-"))</f>
        <v/>
      </c>
      <c r="AB50" s="1" t="str">
        <f>IF(VLOOKUP($C50,Intermediate!$C$2:$R$208,10,FALSE)=L50, "", IF(L50="x","+", "-"))</f>
        <v/>
      </c>
      <c r="AC50" s="1" t="str">
        <f>IF(VLOOKUP($C50,Intermediate!$C$2:$R$208,11,FALSE)=M50, "", IF(M50="x","+", "-"))</f>
        <v/>
      </c>
      <c r="AD50" s="1" t="str">
        <f>IF(VLOOKUP($C50,Intermediate!$C$2:$R$208,12,FALSE)=N50, "", IF(N50="x","+", "-"))</f>
        <v/>
      </c>
      <c r="AE50" s="1" t="str">
        <f>IF(VLOOKUP($C50,Intermediate!$C$2:$R$208,13,FALSE)=O50, "", IF(O50="x","+", "-"))</f>
        <v/>
      </c>
      <c r="AF50" s="1" t="str">
        <f>IF(VLOOKUP($C50,Intermediate!$C$2:$R$208,14,FALSE)=P50, "", IF(P50="x","+", "-"))</f>
        <v/>
      </c>
      <c r="AG50" s="1" t="str">
        <f>IF(VLOOKUP($C50,Intermediate!$C$2:$R$208,15,FALSE)=Q50, "", IF(Q50="x","+", "-"))</f>
        <v/>
      </c>
      <c r="AH50" s="1" t="str">
        <f>IF(VLOOKUP($C50,Intermediate!$C$2:$R$208,16,FALSE)=R50, "", IF(R50="x","+", "-"))</f>
        <v/>
      </c>
    </row>
    <row r="51" spans="1:34" ht="15" customHeight="1" x14ac:dyDescent="0.2">
      <c r="A51" s="1" t="s">
        <v>57</v>
      </c>
      <c r="B51" s="1" t="s">
        <v>18</v>
      </c>
      <c r="C51" s="9" t="str">
        <f t="shared" si="0"/>
        <v>RUG Advanced Software Architecture</v>
      </c>
      <c r="D51" s="5"/>
      <c r="E51" s="5" t="s">
        <v>19</v>
      </c>
      <c r="F51" s="5" t="s">
        <v>19</v>
      </c>
      <c r="G51" s="5"/>
      <c r="H51" s="5"/>
      <c r="I51" s="5"/>
      <c r="J51" s="5"/>
      <c r="K51" s="5"/>
      <c r="L51" s="4" t="s">
        <v>19</v>
      </c>
      <c r="M51" s="5"/>
      <c r="N51" s="5"/>
      <c r="O51" s="5"/>
      <c r="P51" s="5"/>
      <c r="Q51" s="5"/>
      <c r="R51" s="5"/>
      <c r="S51" s="1"/>
      <c r="T51" s="1" t="str">
        <f>IF(VLOOKUP($C51,Intermediate!$C$2:$R$208,2,FALSE)=D51, "", IF(D51="x","+", "-"))</f>
        <v/>
      </c>
      <c r="U51" s="1" t="str">
        <f>IF(VLOOKUP($C51,Intermediate!$C$2:$R$208,3,FALSE)=E51, "", IF(E51="x","+", "-"))</f>
        <v/>
      </c>
      <c r="V51" s="1" t="str">
        <f>IF(VLOOKUP($C51,Intermediate!$C$2:$R$208,4,FALSE)=F51, "", IF(F51="x","+", "-"))</f>
        <v/>
      </c>
      <c r="W51" s="1" t="str">
        <f>IF(VLOOKUP($C51,Intermediate!$C$2:$R$208,5,FALSE)=G51, "", IF(G51="x","+", "-"))</f>
        <v/>
      </c>
      <c r="X51" s="1" t="str">
        <f>IF(VLOOKUP($C51,Intermediate!$C$2:$R$208,6,FALSE)=H51, "", IF(H51="x","+", "-"))</f>
        <v/>
      </c>
      <c r="Y51" s="1" t="str">
        <f>IF(VLOOKUP($C51,Intermediate!$C$2:$R$208,7,FALSE)=I51, "", IF(I51="x","+", "-"))</f>
        <v/>
      </c>
      <c r="Z51" s="1" t="str">
        <f>IF(VLOOKUP($C51,Intermediate!$C$2:$R$208,8,FALSE)=J51, "", IF(J51="x","+", "-"))</f>
        <v/>
      </c>
      <c r="AA51" s="1" t="str">
        <f>IF(VLOOKUP($C51,Intermediate!$C$2:$R$208,9,FALSE)=K51, "", IF(K51="x","+", "-"))</f>
        <v/>
      </c>
      <c r="AB51" s="1" t="str">
        <f>IF(VLOOKUP($C51,Intermediate!$C$2:$R$208,10,FALSE)=L51, "", IF(L51="x","+", "-"))</f>
        <v/>
      </c>
      <c r="AC51" s="1" t="str">
        <f>IF(VLOOKUP($C51,Intermediate!$C$2:$R$208,11,FALSE)=M51, "", IF(M51="x","+", "-"))</f>
        <v/>
      </c>
      <c r="AD51" s="1" t="str">
        <f>IF(VLOOKUP($C51,Intermediate!$C$2:$R$208,12,FALSE)=N51, "", IF(N51="x","+", "-"))</f>
        <v/>
      </c>
      <c r="AE51" s="1" t="str">
        <f>IF(VLOOKUP($C51,Intermediate!$C$2:$R$208,13,FALSE)=O51, "", IF(O51="x","+", "-"))</f>
        <v/>
      </c>
      <c r="AF51" s="1" t="str">
        <f>IF(VLOOKUP($C51,Intermediate!$C$2:$R$208,14,FALSE)=P51, "", IF(P51="x","+", "-"))</f>
        <v/>
      </c>
      <c r="AG51" s="1" t="str">
        <f>IF(VLOOKUP($C51,Intermediate!$C$2:$R$208,15,FALSE)=Q51, "", IF(Q51="x","+", "-"))</f>
        <v/>
      </c>
      <c r="AH51" s="1" t="str">
        <f>IF(VLOOKUP($C51,Intermediate!$C$2:$R$208,16,FALSE)=R51, "", IF(R51="x","+", "-"))</f>
        <v/>
      </c>
    </row>
    <row r="52" spans="1:34" ht="15" customHeight="1" x14ac:dyDescent="0.2">
      <c r="A52" s="1" t="s">
        <v>31</v>
      </c>
      <c r="B52" s="1" t="s">
        <v>18</v>
      </c>
      <c r="C52" s="9" t="str">
        <f t="shared" si="0"/>
        <v>RUG Evidence-Based Software Engineering</v>
      </c>
      <c r="D52" s="5"/>
      <c r="E52" s="5"/>
      <c r="F52" s="5"/>
      <c r="G52" s="5"/>
      <c r="H52" s="5"/>
      <c r="I52" s="5" t="s">
        <v>19</v>
      </c>
      <c r="J52" s="5"/>
      <c r="K52" s="5"/>
      <c r="L52" s="5" t="s">
        <v>19</v>
      </c>
      <c r="M52" s="5" t="s">
        <v>19</v>
      </c>
      <c r="N52" s="5"/>
      <c r="O52" s="5"/>
      <c r="P52" s="5"/>
      <c r="Q52" s="5"/>
      <c r="R52" s="5"/>
      <c r="S52" s="7"/>
      <c r="T52" s="1" t="str">
        <f>IF(VLOOKUP($C52,Intermediate!$C$2:$R$208,2,FALSE)=D52, "", IF(D52="x","+", "-"))</f>
        <v/>
      </c>
      <c r="U52" s="1" t="str">
        <f>IF(VLOOKUP($C52,Intermediate!$C$2:$R$208,3,FALSE)=E52, "", IF(E52="x","+", "-"))</f>
        <v/>
      </c>
      <c r="V52" s="1" t="str">
        <f>IF(VLOOKUP($C52,Intermediate!$C$2:$R$208,4,FALSE)=F52, "", IF(F52="x","+", "-"))</f>
        <v/>
      </c>
      <c r="W52" s="1" t="str">
        <f>IF(VLOOKUP($C52,Intermediate!$C$2:$R$208,5,FALSE)=G52, "", IF(G52="x","+", "-"))</f>
        <v/>
      </c>
      <c r="X52" s="1" t="str">
        <f>IF(VLOOKUP($C52,Intermediate!$C$2:$R$208,6,FALSE)=H52, "", IF(H52="x","+", "-"))</f>
        <v/>
      </c>
      <c r="Y52" s="1" t="str">
        <f>IF(VLOOKUP($C52,Intermediate!$C$2:$R$208,7,FALSE)=I52, "", IF(I52="x","+", "-"))</f>
        <v/>
      </c>
      <c r="Z52" s="1" t="str">
        <f>IF(VLOOKUP($C52,Intermediate!$C$2:$R$208,8,FALSE)=J52, "", IF(J52="x","+", "-"))</f>
        <v/>
      </c>
      <c r="AA52" s="1" t="str">
        <f>IF(VLOOKUP($C52,Intermediate!$C$2:$R$208,9,FALSE)=K52, "", IF(K52="x","+", "-"))</f>
        <v/>
      </c>
      <c r="AB52" s="1" t="str">
        <f>IF(VLOOKUP($C52,Intermediate!$C$2:$R$208,10,FALSE)=L52, "", IF(L52="x","+", "-"))</f>
        <v/>
      </c>
      <c r="AC52" s="1" t="str">
        <f>IF(VLOOKUP($C52,Intermediate!$C$2:$R$208,11,FALSE)=M52, "", IF(M52="x","+", "-"))</f>
        <v/>
      </c>
      <c r="AD52" s="1" t="str">
        <f>IF(VLOOKUP($C52,Intermediate!$C$2:$R$208,12,FALSE)=N52, "", IF(N52="x","+", "-"))</f>
        <v/>
      </c>
      <c r="AE52" s="1" t="str">
        <f>IF(VLOOKUP($C52,Intermediate!$C$2:$R$208,13,FALSE)=O52, "", IF(O52="x","+", "-"))</f>
        <v/>
      </c>
      <c r="AF52" s="1" t="str">
        <f>IF(VLOOKUP($C52,Intermediate!$C$2:$R$208,14,FALSE)=P52, "", IF(P52="x","+", "-"))</f>
        <v/>
      </c>
      <c r="AG52" s="1" t="str">
        <f>IF(VLOOKUP($C52,Intermediate!$C$2:$R$208,15,FALSE)=Q52, "", IF(Q52="x","+", "-"))</f>
        <v/>
      </c>
      <c r="AH52" s="1" t="str">
        <f>IF(VLOOKUP($C52,Intermediate!$C$2:$R$208,16,FALSE)=R52, "", IF(R52="x","+", "-"))</f>
        <v/>
      </c>
    </row>
    <row r="53" spans="1:34" ht="15" customHeight="1" x14ac:dyDescent="0.2">
      <c r="A53" s="1" t="s">
        <v>111</v>
      </c>
      <c r="B53" s="1" t="s">
        <v>18</v>
      </c>
      <c r="C53" s="9" t="str">
        <f t="shared" si="0"/>
        <v>RUG Models and Semantics of Computation</v>
      </c>
      <c r="D53" s="5"/>
      <c r="E53" s="5"/>
      <c r="F53" s="5"/>
      <c r="G53" s="12"/>
      <c r="H53" s="5"/>
      <c r="I53" s="5"/>
      <c r="J53" s="5"/>
      <c r="K53" s="5"/>
      <c r="L53" s="5"/>
      <c r="M53" s="5"/>
      <c r="N53" s="5"/>
      <c r="O53" s="5"/>
      <c r="P53" s="5"/>
      <c r="Q53" s="12" t="s">
        <v>19</v>
      </c>
      <c r="R53" s="5" t="s">
        <v>19</v>
      </c>
      <c r="S53" s="7"/>
      <c r="T53" s="1" t="str">
        <f>IF(VLOOKUP($C53,Intermediate!$C$2:$R$208,2,FALSE)=D53, "", IF(D53="x","+", "-"))</f>
        <v/>
      </c>
      <c r="U53" s="1" t="str">
        <f>IF(VLOOKUP($C53,Intermediate!$C$2:$R$208,3,FALSE)=E53, "", IF(E53="x","+", "-"))</f>
        <v/>
      </c>
      <c r="V53" s="1" t="str">
        <f>IF(VLOOKUP($C53,Intermediate!$C$2:$R$208,4,FALSE)=F53, "", IF(F53="x","+", "-"))</f>
        <v/>
      </c>
      <c r="W53" s="1" t="str">
        <f>IF(VLOOKUP($C53,Intermediate!$C$2:$R$208,5,FALSE)=G53, "", IF(G53="x","+", "-"))</f>
        <v/>
      </c>
      <c r="X53" s="1" t="str">
        <f>IF(VLOOKUP($C53,Intermediate!$C$2:$R$208,6,FALSE)=H53, "", IF(H53="x","+", "-"))</f>
        <v/>
      </c>
      <c r="Y53" s="1" t="str">
        <f>IF(VLOOKUP($C53,Intermediate!$C$2:$R$208,7,FALSE)=I53, "", IF(I53="x","+", "-"))</f>
        <v/>
      </c>
      <c r="Z53" s="1" t="str">
        <f>IF(VLOOKUP($C53,Intermediate!$C$2:$R$208,8,FALSE)=J53, "", IF(J53="x","+", "-"))</f>
        <v/>
      </c>
      <c r="AA53" s="1" t="str">
        <f>IF(VLOOKUP($C53,Intermediate!$C$2:$R$208,9,FALSE)=K53, "", IF(K53="x","+", "-"))</f>
        <v/>
      </c>
      <c r="AB53" s="1" t="str">
        <f>IF(VLOOKUP($C53,Intermediate!$C$2:$R$208,10,FALSE)=L53, "", IF(L53="x","+", "-"))</f>
        <v/>
      </c>
      <c r="AC53" s="1" t="str">
        <f>IF(VLOOKUP($C53,Intermediate!$C$2:$R$208,11,FALSE)=M53, "", IF(M53="x","+", "-"))</f>
        <v/>
      </c>
      <c r="AD53" s="1" t="str">
        <f>IF(VLOOKUP($C53,Intermediate!$C$2:$R$208,12,FALSE)=N53, "", IF(N53="x","+", "-"))</f>
        <v/>
      </c>
      <c r="AE53" s="1" t="str">
        <f>IF(VLOOKUP($C53,Intermediate!$C$2:$R$208,13,FALSE)=O53, "", IF(O53="x","+", "-"))</f>
        <v/>
      </c>
      <c r="AF53" s="1" t="str">
        <f>IF(VLOOKUP($C53,Intermediate!$C$2:$R$208,14,FALSE)=P53, "", IF(P53="x","+", "-"))</f>
        <v/>
      </c>
      <c r="AG53" s="1" t="str">
        <f>IF(VLOOKUP($C53,Intermediate!$C$2:$R$208,15,FALSE)=Q53, "", IF(Q53="x","+", "-"))</f>
        <v/>
      </c>
      <c r="AH53" s="1" t="str">
        <f>IF(VLOOKUP($C53,Intermediate!$C$2:$R$208,16,FALSE)=R53, "", IF(R53="x","+", "-"))</f>
        <v/>
      </c>
    </row>
    <row r="54" spans="1:34" ht="15" customHeight="1" x14ac:dyDescent="0.2">
      <c r="A54" s="1" t="s">
        <v>22</v>
      </c>
      <c r="B54" s="1" t="s">
        <v>18</v>
      </c>
      <c r="C54" s="9" t="str">
        <f t="shared" si="0"/>
        <v>RUG Software Analytics</v>
      </c>
      <c r="D54" s="5"/>
      <c r="E54" s="5"/>
      <c r="F54" s="5"/>
      <c r="G54" s="4"/>
      <c r="H54" s="5"/>
      <c r="I54" s="5"/>
      <c r="J54" s="12" t="s">
        <v>19</v>
      </c>
      <c r="K54" s="5"/>
      <c r="L54" s="5" t="s">
        <v>19</v>
      </c>
      <c r="M54" s="5" t="s">
        <v>19</v>
      </c>
      <c r="N54" s="5"/>
      <c r="O54" s="5"/>
      <c r="P54" s="5"/>
      <c r="Q54" s="4"/>
      <c r="R54" s="5"/>
      <c r="S54" s="7"/>
      <c r="T54" s="1" t="str">
        <f>IF(VLOOKUP($C54,Intermediate!$C$2:$R$208,2,FALSE)=D54, "", IF(D54="x","+", "-"))</f>
        <v/>
      </c>
      <c r="U54" s="1" t="str">
        <f>IF(VLOOKUP($C54,Intermediate!$C$2:$R$208,3,FALSE)=E54, "", IF(E54="x","+", "-"))</f>
        <v/>
      </c>
      <c r="V54" s="1" t="str">
        <f>IF(VLOOKUP($C54,Intermediate!$C$2:$R$208,4,FALSE)=F54, "", IF(F54="x","+", "-"))</f>
        <v/>
      </c>
      <c r="W54" s="1" t="str">
        <f>IF(VLOOKUP($C54,Intermediate!$C$2:$R$208,5,FALSE)=G54, "", IF(G54="x","+", "-"))</f>
        <v/>
      </c>
      <c r="X54" s="1" t="str">
        <f>IF(VLOOKUP($C54,Intermediate!$C$2:$R$208,6,FALSE)=H54, "", IF(H54="x","+", "-"))</f>
        <v/>
      </c>
      <c r="Y54" s="1" t="str">
        <f>IF(VLOOKUP($C54,Intermediate!$C$2:$R$208,7,FALSE)=I54, "", IF(I54="x","+", "-"))</f>
        <v/>
      </c>
      <c r="Z54" s="1" t="str">
        <f>IF(VLOOKUP($C54,Intermediate!$C$2:$R$208,8,FALSE)=J54, "", IF(J54="x","+", "-"))</f>
        <v/>
      </c>
      <c r="AA54" s="1" t="str">
        <f>IF(VLOOKUP($C54,Intermediate!$C$2:$R$208,9,FALSE)=K54, "", IF(K54="x","+", "-"))</f>
        <v/>
      </c>
      <c r="AB54" s="1" t="str">
        <f>IF(VLOOKUP($C54,Intermediate!$C$2:$R$208,10,FALSE)=L54, "", IF(L54="x","+", "-"))</f>
        <v/>
      </c>
      <c r="AC54" s="1" t="str">
        <f>IF(VLOOKUP($C54,Intermediate!$C$2:$R$208,11,FALSE)=M54, "", IF(M54="x","+", "-"))</f>
        <v/>
      </c>
      <c r="AD54" s="1" t="str">
        <f>IF(VLOOKUP($C54,Intermediate!$C$2:$R$208,12,FALSE)=N54, "", IF(N54="x","+", "-"))</f>
        <v/>
      </c>
      <c r="AE54" s="1" t="str">
        <f>IF(VLOOKUP($C54,Intermediate!$C$2:$R$208,13,FALSE)=O54, "", IF(O54="x","+", "-"))</f>
        <v/>
      </c>
      <c r="AF54" s="1" t="str">
        <f>IF(VLOOKUP($C54,Intermediate!$C$2:$R$208,14,FALSE)=P54, "", IF(P54="x","+", "-"))</f>
        <v/>
      </c>
      <c r="AG54" s="1" t="str">
        <f>IF(VLOOKUP($C54,Intermediate!$C$2:$R$208,15,FALSE)=Q54, "", IF(Q54="x","+", "-"))</f>
        <v/>
      </c>
      <c r="AH54" s="1" t="str">
        <f>IF(VLOOKUP($C54,Intermediate!$C$2:$R$208,16,FALSE)=R54, "", IF(R54="x","+", "-"))</f>
        <v/>
      </c>
    </row>
    <row r="55" spans="1:34" ht="15" customHeight="1" x14ac:dyDescent="0.2">
      <c r="A55" s="1" t="s">
        <v>66</v>
      </c>
      <c r="B55" s="1" t="s">
        <v>18</v>
      </c>
      <c r="C55" s="9" t="str">
        <f t="shared" si="0"/>
        <v>RUG Software Architecture</v>
      </c>
      <c r="D55" s="12"/>
      <c r="E55" s="5" t="s">
        <v>19</v>
      </c>
      <c r="F55" s="5" t="s">
        <v>19</v>
      </c>
      <c r="G55" s="12"/>
      <c r="H55" s="12"/>
      <c r="I55" s="5"/>
      <c r="J55" s="4" t="s">
        <v>19</v>
      </c>
      <c r="K55" s="5"/>
      <c r="L55" s="5"/>
      <c r="M55" s="5"/>
      <c r="N55" s="12" t="s">
        <v>19</v>
      </c>
      <c r="O55" s="5"/>
      <c r="P55" s="5"/>
      <c r="Q55" s="5"/>
      <c r="R55" s="5"/>
      <c r="S55" s="7"/>
      <c r="T55" s="1" t="str">
        <f>IF(VLOOKUP($C55,Intermediate!$C$2:$R$208,2,FALSE)=D55, "", IF(D55="x","+", "-"))</f>
        <v/>
      </c>
      <c r="U55" s="1" t="str">
        <f>IF(VLOOKUP($C55,Intermediate!$C$2:$R$208,3,FALSE)=E55, "", IF(E55="x","+", "-"))</f>
        <v/>
      </c>
      <c r="V55" s="1" t="str">
        <f>IF(VLOOKUP($C55,Intermediate!$C$2:$R$208,4,FALSE)=F55, "", IF(F55="x","+", "-"))</f>
        <v/>
      </c>
      <c r="W55" s="1" t="str">
        <f>IF(VLOOKUP($C55,Intermediate!$C$2:$R$208,5,FALSE)=G55, "", IF(G55="x","+", "-"))</f>
        <v/>
      </c>
      <c r="X55" s="1" t="str">
        <f>IF(VLOOKUP($C55,Intermediate!$C$2:$R$208,6,FALSE)=H55, "", IF(H55="x","+", "-"))</f>
        <v/>
      </c>
      <c r="Y55" s="1" t="str">
        <f>IF(VLOOKUP($C55,Intermediate!$C$2:$R$208,7,FALSE)=I55, "", IF(I55="x","+", "-"))</f>
        <v/>
      </c>
      <c r="Z55" s="1" t="str">
        <f>IF(VLOOKUP($C55,Intermediate!$C$2:$R$208,8,FALSE)=J55, "", IF(J55="x","+", "-"))</f>
        <v/>
      </c>
      <c r="AA55" s="1" t="str">
        <f>IF(VLOOKUP($C55,Intermediate!$C$2:$R$208,9,FALSE)=K55, "", IF(K55="x","+", "-"))</f>
        <v/>
      </c>
      <c r="AB55" s="1" t="str">
        <f>IF(VLOOKUP($C55,Intermediate!$C$2:$R$208,10,FALSE)=L55, "", IF(L55="x","+", "-"))</f>
        <v/>
      </c>
      <c r="AC55" s="1" t="str">
        <f>IF(VLOOKUP($C55,Intermediate!$C$2:$R$208,11,FALSE)=M55, "", IF(M55="x","+", "-"))</f>
        <v/>
      </c>
      <c r="AD55" s="1" t="str">
        <f>IF(VLOOKUP($C55,Intermediate!$C$2:$R$208,12,FALSE)=N55, "", IF(N55="x","+", "-"))</f>
        <v/>
      </c>
      <c r="AE55" s="1" t="str">
        <f>IF(VLOOKUP($C55,Intermediate!$C$2:$R$208,13,FALSE)=O55, "", IF(O55="x","+", "-"))</f>
        <v/>
      </c>
      <c r="AF55" s="1" t="str">
        <f>IF(VLOOKUP($C55,Intermediate!$C$2:$R$208,14,FALSE)=P55, "", IF(P55="x","+", "-"))</f>
        <v/>
      </c>
      <c r="AG55" s="1" t="str">
        <f>IF(VLOOKUP($C55,Intermediate!$C$2:$R$208,15,FALSE)=Q55, "", IF(Q55="x","+", "-"))</f>
        <v/>
      </c>
      <c r="AH55" s="1" t="str">
        <f>IF(VLOOKUP($C55,Intermediate!$C$2:$R$208,16,FALSE)=R55, "", IF(R55="x","+", "-"))</f>
        <v/>
      </c>
    </row>
    <row r="56" spans="1:34" ht="15" customHeight="1" x14ac:dyDescent="0.2">
      <c r="A56" s="1" t="s">
        <v>17</v>
      </c>
      <c r="B56" s="1" t="s">
        <v>18</v>
      </c>
      <c r="C56" s="9" t="str">
        <f t="shared" si="0"/>
        <v>RUG Software Maintenance and Evolution</v>
      </c>
      <c r="D56" s="4"/>
      <c r="E56" s="12"/>
      <c r="F56" s="12" t="s">
        <v>19</v>
      </c>
      <c r="G56" s="4"/>
      <c r="H56" s="4"/>
      <c r="I56" s="5"/>
      <c r="J56" s="5" t="s">
        <v>19</v>
      </c>
      <c r="K56" s="5" t="s">
        <v>19</v>
      </c>
      <c r="L56" s="5" t="s">
        <v>19</v>
      </c>
      <c r="M56" s="5" t="s">
        <v>19</v>
      </c>
      <c r="N56" s="4"/>
      <c r="O56" s="5"/>
      <c r="P56" s="5"/>
      <c r="Q56" s="5"/>
      <c r="R56" s="5"/>
      <c r="S56" s="1"/>
      <c r="T56" s="1" t="str">
        <f>IF(VLOOKUP($C56,Intermediate!$C$2:$R$208,2,FALSE)=D56, "", IF(D56="x","+", "-"))</f>
        <v/>
      </c>
      <c r="U56" s="1" t="str">
        <f>IF(VLOOKUP($C56,Intermediate!$C$2:$R$208,3,FALSE)=E56, "", IF(E56="x","+", "-"))</f>
        <v/>
      </c>
      <c r="V56" s="1" t="str">
        <f>IF(VLOOKUP($C56,Intermediate!$C$2:$R$208,4,FALSE)=F56, "", IF(F56="x","+", "-"))</f>
        <v/>
      </c>
      <c r="W56" s="1" t="str">
        <f>IF(VLOOKUP($C56,Intermediate!$C$2:$R$208,5,FALSE)=G56, "", IF(G56="x","+", "-"))</f>
        <v/>
      </c>
      <c r="X56" s="1" t="str">
        <f>IF(VLOOKUP($C56,Intermediate!$C$2:$R$208,6,FALSE)=H56, "", IF(H56="x","+", "-"))</f>
        <v/>
      </c>
      <c r="Y56" s="1" t="str">
        <f>IF(VLOOKUP($C56,Intermediate!$C$2:$R$208,7,FALSE)=I56, "", IF(I56="x","+", "-"))</f>
        <v/>
      </c>
      <c r="Z56" s="1" t="str">
        <f>IF(VLOOKUP($C56,Intermediate!$C$2:$R$208,8,FALSE)=J56, "", IF(J56="x","+", "-"))</f>
        <v/>
      </c>
      <c r="AA56" s="1" t="str">
        <f>IF(VLOOKUP($C56,Intermediate!$C$2:$R$208,9,FALSE)=K56, "", IF(K56="x","+", "-"))</f>
        <v/>
      </c>
      <c r="AB56" s="1" t="str">
        <f>IF(VLOOKUP($C56,Intermediate!$C$2:$R$208,10,FALSE)=L56, "", IF(L56="x","+", "-"))</f>
        <v/>
      </c>
      <c r="AC56" s="1" t="str">
        <f>IF(VLOOKUP($C56,Intermediate!$C$2:$R$208,11,FALSE)=M56, "", IF(M56="x","+", "-"))</f>
        <v/>
      </c>
      <c r="AD56" s="1" t="str">
        <f>IF(VLOOKUP($C56,Intermediate!$C$2:$R$208,12,FALSE)=N56, "", IF(N56="x","+", "-"))</f>
        <v/>
      </c>
      <c r="AE56" s="1" t="str">
        <f>IF(VLOOKUP($C56,Intermediate!$C$2:$R$208,13,FALSE)=O56, "", IF(O56="x","+", "-"))</f>
        <v/>
      </c>
      <c r="AF56" s="1" t="str">
        <f>IF(VLOOKUP($C56,Intermediate!$C$2:$R$208,14,FALSE)=P56, "", IF(P56="x","+", "-"))</f>
        <v/>
      </c>
      <c r="AG56" s="1" t="str">
        <f>IF(VLOOKUP($C56,Intermediate!$C$2:$R$208,15,FALSE)=Q56, "", IF(Q56="x","+", "-"))</f>
        <v/>
      </c>
      <c r="AH56" s="1" t="str">
        <f>IF(VLOOKUP($C56,Intermediate!$C$2:$R$208,16,FALSE)=R56, "", IF(R56="x","+", "-"))</f>
        <v/>
      </c>
    </row>
    <row r="57" spans="1:34" ht="15" customHeight="1" x14ac:dyDescent="0.2">
      <c r="A57" s="1" t="s">
        <v>112</v>
      </c>
      <c r="B57" s="1" t="s">
        <v>18</v>
      </c>
      <c r="C57" s="9" t="str">
        <f t="shared" si="0"/>
        <v>RUG Web and Cloud Computing</v>
      </c>
      <c r="D57" s="12"/>
      <c r="E57" s="4" t="s">
        <v>19</v>
      </c>
      <c r="F57" s="11"/>
      <c r="G57" s="5" t="s">
        <v>19</v>
      </c>
      <c r="H57" s="5"/>
      <c r="I57" s="12"/>
      <c r="J57" s="5"/>
      <c r="K57" s="5"/>
      <c r="L57" s="5"/>
      <c r="M57" s="12"/>
      <c r="N57" s="5"/>
      <c r="O57" s="5"/>
      <c r="P57" s="5"/>
      <c r="Q57" s="5"/>
      <c r="R57" s="5"/>
      <c r="S57" s="1"/>
      <c r="T57" s="1" t="str">
        <f>IF(VLOOKUP($C57,Intermediate!$C$2:$R$208,2,FALSE)=D57, "", IF(D57="x","+", "-"))</f>
        <v/>
      </c>
      <c r="U57" s="1" t="str">
        <f>IF(VLOOKUP($C57,Intermediate!$C$2:$R$208,3,FALSE)=E57, "", IF(E57="x","+", "-"))</f>
        <v/>
      </c>
      <c r="V57" s="1" t="str">
        <f>IF(VLOOKUP($C57,Intermediate!$C$2:$R$208,4,FALSE)=F57, "", IF(F57="x","+", "-"))</f>
        <v/>
      </c>
      <c r="W57" s="1" t="str">
        <f>IF(VLOOKUP($C57,Intermediate!$C$2:$R$208,5,FALSE)=G57, "", IF(G57="x","+", "-"))</f>
        <v/>
      </c>
      <c r="X57" s="1" t="str">
        <f>IF(VLOOKUP($C57,Intermediate!$C$2:$R$208,6,FALSE)=H57, "", IF(H57="x","+", "-"))</f>
        <v/>
      </c>
      <c r="Y57" s="1" t="str">
        <f>IF(VLOOKUP($C57,Intermediate!$C$2:$R$208,7,FALSE)=I57, "", IF(I57="x","+", "-"))</f>
        <v/>
      </c>
      <c r="Z57" s="1" t="str">
        <f>IF(VLOOKUP($C57,Intermediate!$C$2:$R$208,8,FALSE)=J57, "", IF(J57="x","+", "-"))</f>
        <v/>
      </c>
      <c r="AA57" s="1" t="str">
        <f>IF(VLOOKUP($C57,Intermediate!$C$2:$R$208,9,FALSE)=K57, "", IF(K57="x","+", "-"))</f>
        <v/>
      </c>
      <c r="AB57" s="1" t="str">
        <f>IF(VLOOKUP($C57,Intermediate!$C$2:$R$208,10,FALSE)=L57, "", IF(L57="x","+", "-"))</f>
        <v/>
      </c>
      <c r="AC57" s="1" t="str">
        <f>IF(VLOOKUP($C57,Intermediate!$C$2:$R$208,11,FALSE)=M57, "", IF(M57="x","+", "-"))</f>
        <v/>
      </c>
      <c r="AD57" s="1" t="str">
        <f>IF(VLOOKUP($C57,Intermediate!$C$2:$R$208,12,FALSE)=N57, "", IF(N57="x","+", "-"))</f>
        <v/>
      </c>
      <c r="AE57" s="1" t="str">
        <f>IF(VLOOKUP($C57,Intermediate!$C$2:$R$208,13,FALSE)=O57, "", IF(O57="x","+", "-"))</f>
        <v/>
      </c>
      <c r="AF57" s="1" t="str">
        <f>IF(VLOOKUP($C57,Intermediate!$C$2:$R$208,14,FALSE)=P57, "", IF(P57="x","+", "-"))</f>
        <v/>
      </c>
      <c r="AG57" s="1" t="str">
        <f>IF(VLOOKUP($C57,Intermediate!$C$2:$R$208,15,FALSE)=Q57, "", IF(Q57="x","+", "-"))</f>
        <v/>
      </c>
      <c r="AH57" s="1" t="str">
        <f>IF(VLOOKUP($C57,Intermediate!$C$2:$R$208,16,FALSE)=R57, "", IF(R57="x","+", "-"))</f>
        <v/>
      </c>
    </row>
    <row r="58" spans="1:34" ht="15" customHeight="1" x14ac:dyDescent="0.2">
      <c r="A58" s="8" t="s">
        <v>113</v>
      </c>
      <c r="B58" s="8" t="s">
        <v>38</v>
      </c>
      <c r="C58" s="9" t="str">
        <f t="shared" si="0"/>
        <v>TU/e Advanced Software Engineering</v>
      </c>
      <c r="D58" s="4" t="s">
        <v>19</v>
      </c>
      <c r="E58" s="5" t="s">
        <v>19</v>
      </c>
      <c r="F58" s="5" t="s">
        <v>19</v>
      </c>
      <c r="G58" s="5"/>
      <c r="H58" s="5"/>
      <c r="I58" s="4" t="s">
        <v>19</v>
      </c>
      <c r="J58" s="5"/>
      <c r="K58" s="5"/>
      <c r="L58" s="5"/>
      <c r="M58" s="4"/>
      <c r="N58" s="5" t="s">
        <v>19</v>
      </c>
      <c r="O58" s="5"/>
      <c r="P58" s="5"/>
      <c r="Q58" s="5"/>
      <c r="R58" s="5"/>
      <c r="S58" s="1"/>
      <c r="T58" s="1" t="str">
        <f>IF(VLOOKUP($C58,Intermediate!$C$2:$R$208,2,FALSE)=D58, "", IF(D58="x","+", "-"))</f>
        <v/>
      </c>
      <c r="U58" s="1" t="str">
        <f>IF(VLOOKUP($C58,Intermediate!$C$2:$R$208,3,FALSE)=E58, "", IF(E58="x","+", "-"))</f>
        <v/>
      </c>
      <c r="V58" s="1" t="str">
        <f>IF(VLOOKUP($C58,Intermediate!$C$2:$R$208,4,FALSE)=F58, "", IF(F58="x","+", "-"))</f>
        <v/>
      </c>
      <c r="W58" s="1" t="str">
        <f>IF(VLOOKUP($C58,Intermediate!$C$2:$R$208,5,FALSE)=G58, "", IF(G58="x","+", "-"))</f>
        <v/>
      </c>
      <c r="X58" s="1" t="str">
        <f>IF(VLOOKUP($C58,Intermediate!$C$2:$R$208,6,FALSE)=H58, "", IF(H58="x","+", "-"))</f>
        <v/>
      </c>
      <c r="Y58" s="1" t="str">
        <f>IF(VLOOKUP($C58,Intermediate!$C$2:$R$208,7,FALSE)=I58, "", IF(I58="x","+", "-"))</f>
        <v/>
      </c>
      <c r="Z58" s="1" t="str">
        <f>IF(VLOOKUP($C58,Intermediate!$C$2:$R$208,8,FALSE)=J58, "", IF(J58="x","+", "-"))</f>
        <v/>
      </c>
      <c r="AA58" s="1" t="str">
        <f>IF(VLOOKUP($C58,Intermediate!$C$2:$R$208,9,FALSE)=K58, "", IF(K58="x","+", "-"))</f>
        <v/>
      </c>
      <c r="AB58" s="1" t="str">
        <f>IF(VLOOKUP($C58,Intermediate!$C$2:$R$208,10,FALSE)=L58, "", IF(L58="x","+", "-"))</f>
        <v/>
      </c>
      <c r="AC58" s="1" t="str">
        <f>IF(VLOOKUP($C58,Intermediate!$C$2:$R$208,11,FALSE)=M58, "", IF(M58="x","+", "-"))</f>
        <v/>
      </c>
      <c r="AD58" s="1" t="str">
        <f>IF(VLOOKUP($C58,Intermediate!$C$2:$R$208,12,FALSE)=N58, "", IF(N58="x","+", "-"))</f>
        <v/>
      </c>
      <c r="AE58" s="1" t="str">
        <f>IF(VLOOKUP($C58,Intermediate!$C$2:$R$208,13,FALSE)=O58, "", IF(O58="x","+", "-"))</f>
        <v/>
      </c>
      <c r="AF58" s="1" t="str">
        <f>IF(VLOOKUP($C58,Intermediate!$C$2:$R$208,14,FALSE)=P58, "", IF(P58="x","+", "-"))</f>
        <v/>
      </c>
      <c r="AG58" s="1" t="str">
        <f>IF(VLOOKUP($C58,Intermediate!$C$2:$R$208,15,FALSE)=Q58, "", IF(Q58="x","+", "-"))</f>
        <v/>
      </c>
      <c r="AH58" s="1" t="str">
        <f>IF(VLOOKUP($C58,Intermediate!$C$2:$R$208,16,FALSE)=R58, "", IF(R58="x","+", "-"))</f>
        <v/>
      </c>
    </row>
    <row r="59" spans="1:34" ht="15" customHeight="1" x14ac:dyDescent="0.2">
      <c r="A59" s="8" t="s">
        <v>114</v>
      </c>
      <c r="B59" s="8" t="s">
        <v>38</v>
      </c>
      <c r="C59" s="9" t="str">
        <f t="shared" si="0"/>
        <v xml:space="preserve">TU/e CBL Autonomous Systems Twinning 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12"/>
      <c r="S59" s="1"/>
      <c r="T59" s="1" t="str">
        <f>IF(VLOOKUP($C59,Intermediate!$C$2:$R$208,2,FALSE)=D59, "", IF(D59="x","+", "-"))</f>
        <v/>
      </c>
      <c r="U59" s="1" t="str">
        <f>IF(VLOOKUP($C59,Intermediate!$C$2:$R$208,3,FALSE)=E59, "", IF(E59="x","+", "-"))</f>
        <v/>
      </c>
      <c r="V59" s="1" t="str">
        <f>IF(VLOOKUP($C59,Intermediate!$C$2:$R$208,4,FALSE)=F59, "", IF(F59="x","+", "-"))</f>
        <v/>
      </c>
      <c r="W59" s="1" t="str">
        <f>IF(VLOOKUP($C59,Intermediate!$C$2:$R$208,5,FALSE)=G59, "", IF(G59="x","+", "-"))</f>
        <v/>
      </c>
      <c r="X59" s="1" t="str">
        <f>IF(VLOOKUP($C59,Intermediate!$C$2:$R$208,6,FALSE)=H59, "", IF(H59="x","+", "-"))</f>
        <v/>
      </c>
      <c r="Y59" s="1" t="str">
        <f>IF(VLOOKUP($C59,Intermediate!$C$2:$R$208,7,FALSE)=I59, "", IF(I59="x","+", "-"))</f>
        <v/>
      </c>
      <c r="Z59" s="1" t="str">
        <f>IF(VLOOKUP($C59,Intermediate!$C$2:$R$208,8,FALSE)=J59, "", IF(J59="x","+", "-"))</f>
        <v/>
      </c>
      <c r="AA59" s="1" t="str">
        <f>IF(VLOOKUP($C59,Intermediate!$C$2:$R$208,9,FALSE)=K59, "", IF(K59="x","+", "-"))</f>
        <v/>
      </c>
      <c r="AB59" s="1" t="str">
        <f>IF(VLOOKUP($C59,Intermediate!$C$2:$R$208,10,FALSE)=L59, "", IF(L59="x","+", "-"))</f>
        <v/>
      </c>
      <c r="AC59" s="1" t="str">
        <f>IF(VLOOKUP($C59,Intermediate!$C$2:$R$208,11,FALSE)=M59, "", IF(M59="x","+", "-"))</f>
        <v/>
      </c>
      <c r="AD59" s="1" t="str">
        <f>IF(VLOOKUP($C59,Intermediate!$C$2:$R$208,12,FALSE)=N59, "", IF(N59="x","+", "-"))</f>
        <v/>
      </c>
      <c r="AE59" s="1" t="str">
        <f>IF(VLOOKUP($C59,Intermediate!$C$2:$R$208,13,FALSE)=O59, "", IF(O59="x","+", "-"))</f>
        <v/>
      </c>
      <c r="AF59" s="1" t="str">
        <f>IF(VLOOKUP($C59,Intermediate!$C$2:$R$208,14,FALSE)=P59, "", IF(P59="x","+", "-"))</f>
        <v/>
      </c>
      <c r="AG59" s="1" t="str">
        <f>IF(VLOOKUP($C59,Intermediate!$C$2:$R$208,15,FALSE)=Q59, "", IF(Q59="x","+", "-"))</f>
        <v/>
      </c>
      <c r="AH59" s="1" t="str">
        <f>IF(VLOOKUP($C59,Intermediate!$C$2:$R$208,16,FALSE)=R59, "", IF(R59="x","+", "-"))</f>
        <v/>
      </c>
    </row>
    <row r="60" spans="1:34" ht="15" customHeight="1" x14ac:dyDescent="0.2">
      <c r="A60" s="8" t="s">
        <v>86</v>
      </c>
      <c r="B60" s="8" t="s">
        <v>38</v>
      </c>
      <c r="C60" s="9" t="str">
        <f t="shared" si="0"/>
        <v>TU/e Functional Programming</v>
      </c>
      <c r="D60" s="5"/>
      <c r="E60" s="5"/>
      <c r="F60" s="5"/>
      <c r="G60" s="5" t="s">
        <v>19</v>
      </c>
      <c r="H60" s="12"/>
      <c r="I60" s="5"/>
      <c r="J60" s="5"/>
      <c r="K60" s="5"/>
      <c r="L60" s="5"/>
      <c r="M60" s="5"/>
      <c r="N60" s="5"/>
      <c r="O60" s="5"/>
      <c r="P60" s="5"/>
      <c r="Q60" s="5"/>
      <c r="R60" s="17"/>
      <c r="S60" s="1"/>
      <c r="T60" s="1" t="str">
        <f>IF(VLOOKUP($C60,Intermediate!$C$2:$R$208,2,FALSE)=D60, "", IF(D60="x","+", "-"))</f>
        <v/>
      </c>
      <c r="U60" s="1" t="str">
        <f>IF(VLOOKUP($C60,Intermediate!$C$2:$R$208,3,FALSE)=E60, "", IF(E60="x","+", "-"))</f>
        <v/>
      </c>
      <c r="V60" s="1" t="str">
        <f>IF(VLOOKUP($C60,Intermediate!$C$2:$R$208,4,FALSE)=F60, "", IF(F60="x","+", "-"))</f>
        <v/>
      </c>
      <c r="W60" s="1" t="str">
        <f>IF(VLOOKUP($C60,Intermediate!$C$2:$R$208,5,FALSE)=G60, "", IF(G60="x","+", "-"))</f>
        <v/>
      </c>
      <c r="X60" s="1" t="str">
        <f>IF(VLOOKUP($C60,Intermediate!$C$2:$R$208,6,FALSE)=H60, "", IF(H60="x","+", "-"))</f>
        <v/>
      </c>
      <c r="Y60" s="1" t="str">
        <f>IF(VLOOKUP($C60,Intermediate!$C$2:$R$208,7,FALSE)=I60, "", IF(I60="x","+", "-"))</f>
        <v/>
      </c>
      <c r="Z60" s="1" t="str">
        <f>IF(VLOOKUP($C60,Intermediate!$C$2:$R$208,8,FALSE)=J60, "", IF(J60="x","+", "-"))</f>
        <v/>
      </c>
      <c r="AA60" s="1" t="str">
        <f>IF(VLOOKUP($C60,Intermediate!$C$2:$R$208,9,FALSE)=K60, "", IF(K60="x","+", "-"))</f>
        <v/>
      </c>
      <c r="AB60" s="1" t="str">
        <f>IF(VLOOKUP($C60,Intermediate!$C$2:$R$208,10,FALSE)=L60, "", IF(L60="x","+", "-"))</f>
        <v/>
      </c>
      <c r="AC60" s="1" t="str">
        <f>IF(VLOOKUP($C60,Intermediate!$C$2:$R$208,11,FALSE)=M60, "", IF(M60="x","+", "-"))</f>
        <v/>
      </c>
      <c r="AD60" s="1" t="str">
        <f>IF(VLOOKUP($C60,Intermediate!$C$2:$R$208,12,FALSE)=N60, "", IF(N60="x","+", "-"))</f>
        <v/>
      </c>
      <c r="AE60" s="1" t="str">
        <f>IF(VLOOKUP($C60,Intermediate!$C$2:$R$208,13,FALSE)=O60, "", IF(O60="x","+", "-"))</f>
        <v/>
      </c>
      <c r="AF60" s="1" t="str">
        <f>IF(VLOOKUP($C60,Intermediate!$C$2:$R$208,14,FALSE)=P60, "", IF(P60="x","+", "-"))</f>
        <v/>
      </c>
      <c r="AG60" s="1" t="str">
        <f>IF(VLOOKUP($C60,Intermediate!$C$2:$R$208,15,FALSE)=Q60, "", IF(Q60="x","+", "-"))</f>
        <v/>
      </c>
      <c r="AH60" s="1" t="str">
        <f>IF(VLOOKUP($C60,Intermediate!$C$2:$R$208,16,FALSE)=R60, "", IF(R60="x","+", "-"))</f>
        <v/>
      </c>
    </row>
    <row r="61" spans="1:34" ht="15" customHeight="1" x14ac:dyDescent="0.2">
      <c r="A61" s="8" t="s">
        <v>41</v>
      </c>
      <c r="B61" s="8" t="s">
        <v>38</v>
      </c>
      <c r="C61" s="9" t="str">
        <f t="shared" si="0"/>
        <v>TU/e Programming</v>
      </c>
      <c r="D61" s="5"/>
      <c r="E61" s="5"/>
      <c r="F61" s="5"/>
      <c r="G61" s="12" t="s">
        <v>19</v>
      </c>
      <c r="H61" s="15"/>
      <c r="I61" s="5"/>
      <c r="J61" s="5"/>
      <c r="K61" s="5"/>
      <c r="L61" s="5"/>
      <c r="M61" s="5"/>
      <c r="N61" s="5"/>
      <c r="O61" s="5"/>
      <c r="P61" s="5"/>
      <c r="Q61" s="5"/>
      <c r="R61" s="17"/>
      <c r="S61" s="7"/>
      <c r="T61" s="1" t="str">
        <f>IF(VLOOKUP($C61,Intermediate!$C$2:$R$208,2,FALSE)=D61, "", IF(D61="x","+", "-"))</f>
        <v/>
      </c>
      <c r="U61" s="1" t="str">
        <f>IF(VLOOKUP($C61,Intermediate!$C$2:$R$208,3,FALSE)=E61, "", IF(E61="x","+", "-"))</f>
        <v/>
      </c>
      <c r="V61" s="1" t="str">
        <f>IF(VLOOKUP($C61,Intermediate!$C$2:$R$208,4,FALSE)=F61, "", IF(F61="x","+", "-"))</f>
        <v/>
      </c>
      <c r="W61" s="1" t="str">
        <f>IF(VLOOKUP($C61,Intermediate!$C$2:$R$208,5,FALSE)=G61, "", IF(G61="x","+", "-"))</f>
        <v/>
      </c>
      <c r="X61" s="1" t="str">
        <f>IF(VLOOKUP($C61,Intermediate!$C$2:$R$208,6,FALSE)=H61, "", IF(H61="x","+", "-"))</f>
        <v/>
      </c>
      <c r="Y61" s="1" t="str">
        <f>IF(VLOOKUP($C61,Intermediate!$C$2:$R$208,7,FALSE)=I61, "", IF(I61="x","+", "-"))</f>
        <v/>
      </c>
      <c r="Z61" s="1" t="str">
        <f>IF(VLOOKUP($C61,Intermediate!$C$2:$R$208,8,FALSE)=J61, "", IF(J61="x","+", "-"))</f>
        <v/>
      </c>
      <c r="AA61" s="1" t="str">
        <f>IF(VLOOKUP($C61,Intermediate!$C$2:$R$208,9,FALSE)=K61, "", IF(K61="x","+", "-"))</f>
        <v/>
      </c>
      <c r="AB61" s="1" t="str">
        <f>IF(VLOOKUP($C61,Intermediate!$C$2:$R$208,10,FALSE)=L61, "", IF(L61="x","+", "-"))</f>
        <v/>
      </c>
      <c r="AC61" s="1" t="str">
        <f>IF(VLOOKUP($C61,Intermediate!$C$2:$R$208,11,FALSE)=M61, "", IF(M61="x","+", "-"))</f>
        <v/>
      </c>
      <c r="AD61" s="1" t="str">
        <f>IF(VLOOKUP($C61,Intermediate!$C$2:$R$208,12,FALSE)=N61, "", IF(N61="x","+", "-"))</f>
        <v/>
      </c>
      <c r="AE61" s="1" t="str">
        <f>IF(VLOOKUP($C61,Intermediate!$C$2:$R$208,13,FALSE)=O61, "", IF(O61="x","+", "-"))</f>
        <v/>
      </c>
      <c r="AF61" s="1" t="str">
        <f>IF(VLOOKUP($C61,Intermediate!$C$2:$R$208,14,FALSE)=P61, "", IF(P61="x","+", "-"))</f>
        <v/>
      </c>
      <c r="AG61" s="1" t="str">
        <f>IF(VLOOKUP($C61,Intermediate!$C$2:$R$208,15,FALSE)=Q61, "", IF(Q61="x","+", "-"))</f>
        <v/>
      </c>
      <c r="AH61" s="1" t="str">
        <f>IF(VLOOKUP($C61,Intermediate!$C$2:$R$208,16,FALSE)=R61, "", IF(R61="x","+", "-"))</f>
        <v/>
      </c>
    </row>
    <row r="62" spans="1:34" ht="15" customHeight="1" x14ac:dyDescent="0.2">
      <c r="A62" s="8" t="s">
        <v>115</v>
      </c>
      <c r="B62" s="8" t="s">
        <v>38</v>
      </c>
      <c r="C62" s="9" t="str">
        <f t="shared" si="0"/>
        <v>TU/e Provable Programming</v>
      </c>
      <c r="D62" s="5"/>
      <c r="E62" s="5"/>
      <c r="F62" s="5"/>
      <c r="G62" s="15"/>
      <c r="H62" s="15"/>
      <c r="I62" s="5"/>
      <c r="J62" s="12"/>
      <c r="K62" s="12"/>
      <c r="L62" s="5"/>
      <c r="M62" s="12"/>
      <c r="N62" s="5"/>
      <c r="O62" s="5"/>
      <c r="P62" s="5"/>
      <c r="Q62" s="5" t="s">
        <v>19</v>
      </c>
      <c r="R62" s="19"/>
      <c r="S62" s="7"/>
      <c r="T62" s="1" t="str">
        <f>IF(VLOOKUP($C62,Intermediate!$C$2:$R$208,2,FALSE)=D62, "", IF(D62="x","+", "-"))</f>
        <v/>
      </c>
      <c r="U62" s="1" t="str">
        <f>IF(VLOOKUP($C62,Intermediate!$C$2:$R$208,3,FALSE)=E62, "", IF(E62="x","+", "-"))</f>
        <v/>
      </c>
      <c r="V62" s="1" t="str">
        <f>IF(VLOOKUP($C62,Intermediate!$C$2:$R$208,4,FALSE)=F62, "", IF(F62="x","+", "-"))</f>
        <v/>
      </c>
      <c r="W62" s="1" t="str">
        <f>IF(VLOOKUP($C62,Intermediate!$C$2:$R$208,5,FALSE)=G62, "", IF(G62="x","+", "-"))</f>
        <v/>
      </c>
      <c r="X62" s="1" t="str">
        <f>IF(VLOOKUP($C62,Intermediate!$C$2:$R$208,6,FALSE)=H62, "", IF(H62="x","+", "-"))</f>
        <v/>
      </c>
      <c r="Y62" s="1" t="str">
        <f>IF(VLOOKUP($C62,Intermediate!$C$2:$R$208,7,FALSE)=I62, "", IF(I62="x","+", "-"))</f>
        <v/>
      </c>
      <c r="Z62" s="1" t="str">
        <f>IF(VLOOKUP($C62,Intermediate!$C$2:$R$208,8,FALSE)=J62, "", IF(J62="x","+", "-"))</f>
        <v/>
      </c>
      <c r="AA62" s="1" t="str">
        <f>IF(VLOOKUP($C62,Intermediate!$C$2:$R$208,9,FALSE)=K62, "", IF(K62="x","+", "-"))</f>
        <v/>
      </c>
      <c r="AB62" s="1" t="str">
        <f>IF(VLOOKUP($C62,Intermediate!$C$2:$R$208,10,FALSE)=L62, "", IF(L62="x","+", "-"))</f>
        <v/>
      </c>
      <c r="AC62" s="1" t="str">
        <f>IF(VLOOKUP($C62,Intermediate!$C$2:$R$208,11,FALSE)=M62, "", IF(M62="x","+", "-"))</f>
        <v/>
      </c>
      <c r="AD62" s="1" t="str">
        <f>IF(VLOOKUP($C62,Intermediate!$C$2:$R$208,12,FALSE)=N62, "", IF(N62="x","+", "-"))</f>
        <v/>
      </c>
      <c r="AE62" s="1" t="str">
        <f>IF(VLOOKUP($C62,Intermediate!$C$2:$R$208,13,FALSE)=O62, "", IF(O62="x","+", "-"))</f>
        <v/>
      </c>
      <c r="AF62" s="1" t="str">
        <f>IF(VLOOKUP($C62,Intermediate!$C$2:$R$208,14,FALSE)=P62, "", IF(P62="x","+", "-"))</f>
        <v/>
      </c>
      <c r="AG62" s="1" t="str">
        <f>IF(VLOOKUP($C62,Intermediate!$C$2:$R$208,15,FALSE)=Q62, "", IF(Q62="x","+", "-"))</f>
        <v/>
      </c>
      <c r="AH62" s="1" t="str">
        <f>IF(VLOOKUP($C62,Intermediate!$C$2:$R$208,16,FALSE)=R62, "", IF(R62="x","+", "-"))</f>
        <v/>
      </c>
    </row>
    <row r="63" spans="1:34" ht="15" customHeight="1" x14ac:dyDescent="0.2">
      <c r="A63" s="8" t="s">
        <v>61</v>
      </c>
      <c r="B63" s="8" t="s">
        <v>38</v>
      </c>
      <c r="C63" s="9" t="str">
        <f t="shared" si="0"/>
        <v>TU/e Software Design</v>
      </c>
      <c r="D63" s="5" t="s">
        <v>19</v>
      </c>
      <c r="E63" s="5"/>
      <c r="F63" s="5" t="s">
        <v>19</v>
      </c>
      <c r="G63" s="4"/>
      <c r="H63" s="15"/>
      <c r="I63" s="5"/>
      <c r="J63" s="15"/>
      <c r="K63" s="4"/>
      <c r="L63" s="5"/>
      <c r="M63" s="18"/>
      <c r="N63" s="5"/>
      <c r="O63" s="5"/>
      <c r="P63" s="5"/>
      <c r="Q63" s="5"/>
      <c r="R63" s="5"/>
      <c r="S63" s="1"/>
      <c r="T63" s="1" t="str">
        <f>IF(VLOOKUP($C63,Intermediate!$C$2:$R$208,2,FALSE)=D63, "", IF(D63="x","+", "-"))</f>
        <v/>
      </c>
      <c r="U63" s="1" t="str">
        <f>IF(VLOOKUP($C63,Intermediate!$C$2:$R$208,3,FALSE)=E63, "", IF(E63="x","+", "-"))</f>
        <v/>
      </c>
      <c r="V63" s="1" t="str">
        <f>IF(VLOOKUP($C63,Intermediate!$C$2:$R$208,4,FALSE)=F63, "", IF(F63="x","+", "-"))</f>
        <v/>
      </c>
      <c r="W63" s="1" t="str">
        <f>IF(VLOOKUP($C63,Intermediate!$C$2:$R$208,5,FALSE)=G63, "", IF(G63="x","+", "-"))</f>
        <v/>
      </c>
      <c r="X63" s="1" t="str">
        <f>IF(VLOOKUP($C63,Intermediate!$C$2:$R$208,6,FALSE)=H63, "", IF(H63="x","+", "-"))</f>
        <v/>
      </c>
      <c r="Y63" s="1" t="str">
        <f>IF(VLOOKUP($C63,Intermediate!$C$2:$R$208,7,FALSE)=I63, "", IF(I63="x","+", "-"))</f>
        <v/>
      </c>
      <c r="Z63" s="1" t="str">
        <f>IF(VLOOKUP($C63,Intermediate!$C$2:$R$208,8,FALSE)=J63, "", IF(J63="x","+", "-"))</f>
        <v/>
      </c>
      <c r="AA63" s="1" t="str">
        <f>IF(VLOOKUP($C63,Intermediate!$C$2:$R$208,9,FALSE)=K63, "", IF(K63="x","+", "-"))</f>
        <v/>
      </c>
      <c r="AB63" s="1" t="str">
        <f>IF(VLOOKUP($C63,Intermediate!$C$2:$R$208,10,FALSE)=L63, "", IF(L63="x","+", "-"))</f>
        <v/>
      </c>
      <c r="AC63" s="1" t="str">
        <f>IF(VLOOKUP($C63,Intermediate!$C$2:$R$208,11,FALSE)=M63, "", IF(M63="x","+", "-"))</f>
        <v/>
      </c>
      <c r="AD63" s="1" t="str">
        <f>IF(VLOOKUP($C63,Intermediate!$C$2:$R$208,12,FALSE)=N63, "", IF(N63="x","+", "-"))</f>
        <v/>
      </c>
      <c r="AE63" s="1" t="str">
        <f>IF(VLOOKUP($C63,Intermediate!$C$2:$R$208,13,FALSE)=O63, "", IF(O63="x","+", "-"))</f>
        <v/>
      </c>
      <c r="AF63" s="1" t="str">
        <f>IF(VLOOKUP($C63,Intermediate!$C$2:$R$208,14,FALSE)=P63, "", IF(P63="x","+", "-"))</f>
        <v/>
      </c>
      <c r="AG63" s="1" t="str">
        <f>IF(VLOOKUP($C63,Intermediate!$C$2:$R$208,15,FALSE)=Q63, "", IF(Q63="x","+", "-"))</f>
        <v/>
      </c>
      <c r="AH63" s="1" t="str">
        <f>IF(VLOOKUP($C63,Intermediate!$C$2:$R$208,16,FALSE)=R63, "", IF(R63="x","+", "-"))</f>
        <v/>
      </c>
    </row>
    <row r="64" spans="1:34" ht="15" customHeight="1" x14ac:dyDescent="0.2">
      <c r="A64" s="8" t="s">
        <v>64</v>
      </c>
      <c r="B64" s="8" t="s">
        <v>38</v>
      </c>
      <c r="C64" s="9" t="str">
        <f t="shared" si="0"/>
        <v>TU/e Software development for Engineers</v>
      </c>
      <c r="D64" s="5"/>
      <c r="E64" s="5"/>
      <c r="F64" s="5"/>
      <c r="G64" s="5" t="s">
        <v>19</v>
      </c>
      <c r="H64" s="4"/>
      <c r="I64" s="5"/>
      <c r="J64" s="4"/>
      <c r="K64" s="5" t="s">
        <v>19</v>
      </c>
      <c r="L64" s="5"/>
      <c r="M64" s="5"/>
      <c r="N64" s="5"/>
      <c r="O64" s="5"/>
      <c r="P64" s="5"/>
      <c r="Q64" s="5"/>
      <c r="R64" s="5"/>
      <c r="S64" s="7"/>
      <c r="T64" s="1" t="str">
        <f>IF(VLOOKUP($C64,Intermediate!$C$2:$R$208,2,FALSE)=D64, "", IF(D64="x","+", "-"))</f>
        <v/>
      </c>
      <c r="U64" s="1" t="str">
        <f>IF(VLOOKUP($C64,Intermediate!$C$2:$R$208,3,FALSE)=E64, "", IF(E64="x","+", "-"))</f>
        <v/>
      </c>
      <c r="V64" s="1" t="str">
        <f>IF(VLOOKUP($C64,Intermediate!$C$2:$R$208,4,FALSE)=F64, "", IF(F64="x","+", "-"))</f>
        <v/>
      </c>
      <c r="W64" s="1" t="str">
        <f>IF(VLOOKUP($C64,Intermediate!$C$2:$R$208,5,FALSE)=G64, "", IF(G64="x","+", "-"))</f>
        <v/>
      </c>
      <c r="X64" s="1" t="str">
        <f>IF(VLOOKUP($C64,Intermediate!$C$2:$R$208,6,FALSE)=H64, "", IF(H64="x","+", "-"))</f>
        <v/>
      </c>
      <c r="Y64" s="1" t="str">
        <f>IF(VLOOKUP($C64,Intermediate!$C$2:$R$208,7,FALSE)=I64, "", IF(I64="x","+", "-"))</f>
        <v/>
      </c>
      <c r="Z64" s="1" t="str">
        <f>IF(VLOOKUP($C64,Intermediate!$C$2:$R$208,8,FALSE)=J64, "", IF(J64="x","+", "-"))</f>
        <v/>
      </c>
      <c r="AA64" s="1" t="str">
        <f>IF(VLOOKUP($C64,Intermediate!$C$2:$R$208,9,FALSE)=K64, "", IF(K64="x","+", "-"))</f>
        <v/>
      </c>
      <c r="AB64" s="1" t="str">
        <f>IF(VLOOKUP($C64,Intermediate!$C$2:$R$208,10,FALSE)=L64, "", IF(L64="x","+", "-"))</f>
        <v/>
      </c>
      <c r="AC64" s="1" t="str">
        <f>IF(VLOOKUP($C64,Intermediate!$C$2:$R$208,11,FALSE)=M64, "", IF(M64="x","+", "-"))</f>
        <v/>
      </c>
      <c r="AD64" s="1" t="str">
        <f>IF(VLOOKUP($C64,Intermediate!$C$2:$R$208,12,FALSE)=N64, "", IF(N64="x","+", "-"))</f>
        <v/>
      </c>
      <c r="AE64" s="1" t="str">
        <f>IF(VLOOKUP($C64,Intermediate!$C$2:$R$208,13,FALSE)=O64, "", IF(O64="x","+", "-"))</f>
        <v/>
      </c>
      <c r="AF64" s="1" t="str">
        <f>IF(VLOOKUP($C64,Intermediate!$C$2:$R$208,14,FALSE)=P64, "", IF(P64="x","+", "-"))</f>
        <v/>
      </c>
      <c r="AG64" s="1" t="str">
        <f>IF(VLOOKUP($C64,Intermediate!$C$2:$R$208,15,FALSE)=Q64, "", IF(Q64="x","+", "-"))</f>
        <v/>
      </c>
      <c r="AH64" s="1" t="str">
        <f>IF(VLOOKUP($C64,Intermediate!$C$2:$R$208,16,FALSE)=R64, "", IF(R64="x","+", "-"))</f>
        <v/>
      </c>
    </row>
    <row r="65" spans="1:34" ht="15" customHeight="1" x14ac:dyDescent="0.2">
      <c r="A65" s="8" t="s">
        <v>116</v>
      </c>
      <c r="B65" s="8" t="s">
        <v>38</v>
      </c>
      <c r="C65" s="9" t="str">
        <f t="shared" si="0"/>
        <v>TU/e Software Engineering Project</v>
      </c>
      <c r="D65" s="5"/>
      <c r="E65" s="5"/>
      <c r="F65" s="12"/>
      <c r="G65" s="12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1"/>
      <c r="T65" s="1" t="str">
        <f>IF(VLOOKUP($C65,Intermediate!$C$2:$R$208,2,FALSE)=D65, "", IF(D65="x","+", "-"))</f>
        <v/>
      </c>
      <c r="U65" s="1" t="str">
        <f>IF(VLOOKUP($C65,Intermediate!$C$2:$R$208,3,FALSE)=E65, "", IF(E65="x","+", "-"))</f>
        <v/>
      </c>
      <c r="V65" s="1" t="str">
        <f>IF(VLOOKUP($C65,Intermediate!$C$2:$R$208,4,FALSE)=F65, "", IF(F65="x","+", "-"))</f>
        <v/>
      </c>
      <c r="W65" s="1" t="str">
        <f>IF(VLOOKUP($C65,Intermediate!$C$2:$R$208,5,FALSE)=G65, "", IF(G65="x","+", "-"))</f>
        <v/>
      </c>
      <c r="X65" s="1" t="str">
        <f>IF(VLOOKUP($C65,Intermediate!$C$2:$R$208,6,FALSE)=H65, "", IF(H65="x","+", "-"))</f>
        <v/>
      </c>
      <c r="Y65" s="1" t="str">
        <f>IF(VLOOKUP($C65,Intermediate!$C$2:$R$208,7,FALSE)=I65, "", IF(I65="x","+", "-"))</f>
        <v/>
      </c>
      <c r="Z65" s="1" t="str">
        <f>IF(VLOOKUP($C65,Intermediate!$C$2:$R$208,8,FALSE)=J65, "", IF(J65="x","+", "-"))</f>
        <v/>
      </c>
      <c r="AA65" s="1" t="str">
        <f>IF(VLOOKUP($C65,Intermediate!$C$2:$R$208,9,FALSE)=K65, "", IF(K65="x","+", "-"))</f>
        <v/>
      </c>
      <c r="AB65" s="1" t="str">
        <f>IF(VLOOKUP($C65,Intermediate!$C$2:$R$208,10,FALSE)=L65, "", IF(L65="x","+", "-"))</f>
        <v/>
      </c>
      <c r="AC65" s="1" t="str">
        <f>IF(VLOOKUP($C65,Intermediate!$C$2:$R$208,11,FALSE)=M65, "", IF(M65="x","+", "-"))</f>
        <v/>
      </c>
      <c r="AD65" s="1" t="str">
        <f>IF(VLOOKUP($C65,Intermediate!$C$2:$R$208,12,FALSE)=N65, "", IF(N65="x","+", "-"))</f>
        <v/>
      </c>
      <c r="AE65" s="1" t="str">
        <f>IF(VLOOKUP($C65,Intermediate!$C$2:$R$208,13,FALSE)=O65, "", IF(O65="x","+", "-"))</f>
        <v/>
      </c>
      <c r="AF65" s="1" t="str">
        <f>IF(VLOOKUP($C65,Intermediate!$C$2:$R$208,14,FALSE)=P65, "", IF(P65="x","+", "-"))</f>
        <v/>
      </c>
      <c r="AG65" s="1" t="str">
        <f>IF(VLOOKUP($C65,Intermediate!$C$2:$R$208,15,FALSE)=Q65, "", IF(Q65="x","+", "-"))</f>
        <v/>
      </c>
      <c r="AH65" s="1" t="str">
        <f>IF(VLOOKUP($C65,Intermediate!$C$2:$R$208,16,FALSE)=R65, "", IF(R65="x","+", "-"))</f>
        <v/>
      </c>
    </row>
    <row r="66" spans="1:34" ht="15" customHeight="1" x14ac:dyDescent="0.2">
      <c r="A66" s="8" t="s">
        <v>153</v>
      </c>
      <c r="B66" s="8" t="s">
        <v>38</v>
      </c>
      <c r="C66" s="9" t="str">
        <f t="shared" si="0"/>
        <v>TU/e Software Specification</v>
      </c>
      <c r="D66" s="5" t="s">
        <v>19</v>
      </c>
      <c r="E66" s="5"/>
      <c r="F66" s="5"/>
      <c r="G66" s="12"/>
      <c r="H66" s="5" t="s">
        <v>19</v>
      </c>
      <c r="I66" s="5"/>
      <c r="J66" s="5"/>
      <c r="K66" s="5"/>
      <c r="L66" s="5"/>
      <c r="M66" s="5"/>
      <c r="N66" s="5" t="s">
        <v>19</v>
      </c>
      <c r="O66" s="5"/>
      <c r="P66" s="5"/>
      <c r="Q66" s="5" t="s">
        <v>19</v>
      </c>
      <c r="R66" s="5"/>
      <c r="S66" s="1"/>
      <c r="T66" s="1" t="str">
        <f>IF(VLOOKUP($C66,Intermediate!$C$2:$R$208,2,FALSE)=D66, "", IF(D66="x","+", "-"))</f>
        <v/>
      </c>
      <c r="U66" s="1" t="str">
        <f>IF(VLOOKUP($C66,Intermediate!$C$2:$R$208,3,FALSE)=E66, "", IF(E66="x","+", "-"))</f>
        <v/>
      </c>
      <c r="V66" s="1" t="str">
        <f>IF(VLOOKUP($C66,Intermediate!$C$2:$R$208,4,FALSE)=F66, "", IF(F66="x","+", "-"))</f>
        <v/>
      </c>
      <c r="W66" s="1" t="str">
        <f>IF(VLOOKUP($C66,Intermediate!$C$2:$R$208,5,FALSE)=G66, "", IF(G66="x","+", "-"))</f>
        <v/>
      </c>
      <c r="X66" s="1" t="str">
        <f>IF(VLOOKUP($C66,Intermediate!$C$2:$R$208,6,FALSE)=H66, "", IF(H66="x","+", "-"))</f>
        <v/>
      </c>
      <c r="Y66" s="1" t="str">
        <f>IF(VLOOKUP($C66,Intermediate!$C$2:$R$208,7,FALSE)=I66, "", IF(I66="x","+", "-"))</f>
        <v/>
      </c>
      <c r="Z66" s="1" t="str">
        <f>IF(VLOOKUP($C66,Intermediate!$C$2:$R$208,8,FALSE)=J66, "", IF(J66="x","+", "-"))</f>
        <v/>
      </c>
      <c r="AA66" s="1" t="str">
        <f>IF(VLOOKUP($C66,Intermediate!$C$2:$R$208,9,FALSE)=K66, "", IF(K66="x","+", "-"))</f>
        <v/>
      </c>
      <c r="AB66" s="1" t="str">
        <f>IF(VLOOKUP($C66,Intermediate!$C$2:$R$208,10,FALSE)=L66, "", IF(L66="x","+", "-"))</f>
        <v/>
      </c>
      <c r="AC66" s="1" t="str">
        <f>IF(VLOOKUP($C66,Intermediate!$C$2:$R$208,11,FALSE)=M66, "", IF(M66="x","+", "-"))</f>
        <v/>
      </c>
      <c r="AD66" s="1" t="str">
        <f>IF(VLOOKUP($C66,Intermediate!$C$2:$R$208,12,FALSE)=N66, "", IF(N66="x","+", "-"))</f>
        <v/>
      </c>
      <c r="AE66" s="1" t="str">
        <f>IF(VLOOKUP($C66,Intermediate!$C$2:$R$208,13,FALSE)=O66, "", IF(O66="x","+", "-"))</f>
        <v/>
      </c>
      <c r="AF66" s="1" t="str">
        <f>IF(VLOOKUP($C66,Intermediate!$C$2:$R$208,14,FALSE)=P66, "", IF(P66="x","+", "-"))</f>
        <v/>
      </c>
      <c r="AG66" s="1" t="str">
        <f>IF(VLOOKUP($C66,Intermediate!$C$2:$R$208,15,FALSE)=Q66, "", IF(Q66="x","+", "-"))</f>
        <v/>
      </c>
      <c r="AH66" s="1" t="str">
        <f>IF(VLOOKUP($C66,Intermediate!$C$2:$R$208,16,FALSE)=R66, "", IF(R66="x","+", "-"))</f>
        <v/>
      </c>
    </row>
    <row r="67" spans="1:34" ht="15" customHeight="1" x14ac:dyDescent="0.2">
      <c r="A67" s="8" t="s">
        <v>118</v>
      </c>
      <c r="B67" s="8" t="s">
        <v>38</v>
      </c>
      <c r="C67" s="9" t="str">
        <f t="shared" ref="C67:C130" si="1">_xlfn.CONCAT(B67, " ", A67)</f>
        <v>TU/e Domain specific language design</v>
      </c>
      <c r="D67" s="15"/>
      <c r="E67" s="5"/>
      <c r="F67" s="15"/>
      <c r="G67" s="15"/>
      <c r="H67" s="5"/>
      <c r="I67" s="5"/>
      <c r="J67" s="5"/>
      <c r="K67" s="5"/>
      <c r="L67" s="5"/>
      <c r="M67" s="5"/>
      <c r="N67" s="5" t="s">
        <v>19</v>
      </c>
      <c r="O67" s="5"/>
      <c r="P67" s="5"/>
      <c r="Q67" s="5"/>
      <c r="R67" s="5" t="s">
        <v>19</v>
      </c>
      <c r="S67" s="1"/>
      <c r="T67" s="1" t="str">
        <f>IF(VLOOKUP($C67,Intermediate!$C$2:$R$208,2,FALSE)=D67, "", IF(D67="x","+", "-"))</f>
        <v/>
      </c>
      <c r="U67" s="1" t="str">
        <f>IF(VLOOKUP($C67,Intermediate!$C$2:$R$208,3,FALSE)=E67, "", IF(E67="x","+", "-"))</f>
        <v/>
      </c>
      <c r="V67" s="1" t="str">
        <f>IF(VLOOKUP($C67,Intermediate!$C$2:$R$208,4,FALSE)=F67, "", IF(F67="x","+", "-"))</f>
        <v/>
      </c>
      <c r="W67" s="1" t="str">
        <f>IF(VLOOKUP($C67,Intermediate!$C$2:$R$208,5,FALSE)=G67, "", IF(G67="x","+", "-"))</f>
        <v/>
      </c>
      <c r="X67" s="1" t="str">
        <f>IF(VLOOKUP($C67,Intermediate!$C$2:$R$208,6,FALSE)=H67, "", IF(H67="x","+", "-"))</f>
        <v/>
      </c>
      <c r="Y67" s="1" t="str">
        <f>IF(VLOOKUP($C67,Intermediate!$C$2:$R$208,7,FALSE)=I67, "", IF(I67="x","+", "-"))</f>
        <v/>
      </c>
      <c r="Z67" s="1" t="str">
        <f>IF(VLOOKUP($C67,Intermediate!$C$2:$R$208,8,FALSE)=J67, "", IF(J67="x","+", "-"))</f>
        <v/>
      </c>
      <c r="AA67" s="1" t="str">
        <f>IF(VLOOKUP($C67,Intermediate!$C$2:$R$208,9,FALSE)=K67, "", IF(K67="x","+", "-"))</f>
        <v/>
      </c>
      <c r="AB67" s="1" t="str">
        <f>IF(VLOOKUP($C67,Intermediate!$C$2:$R$208,10,FALSE)=L67, "", IF(L67="x","+", "-"))</f>
        <v/>
      </c>
      <c r="AC67" s="1" t="str">
        <f>IF(VLOOKUP($C67,Intermediate!$C$2:$R$208,11,FALSE)=M67, "", IF(M67="x","+", "-"))</f>
        <v/>
      </c>
      <c r="AD67" s="1" t="str">
        <f>IF(VLOOKUP($C67,Intermediate!$C$2:$R$208,12,FALSE)=N67, "", IF(N67="x","+", "-"))</f>
        <v/>
      </c>
      <c r="AE67" s="1" t="str">
        <f>IF(VLOOKUP($C67,Intermediate!$C$2:$R$208,13,FALSE)=O67, "", IF(O67="x","+", "-"))</f>
        <v/>
      </c>
      <c r="AF67" s="1" t="str">
        <f>IF(VLOOKUP($C67,Intermediate!$C$2:$R$208,14,FALSE)=P67, "", IF(P67="x","+", "-"))</f>
        <v/>
      </c>
      <c r="AG67" s="1" t="str">
        <f>IF(VLOOKUP($C67,Intermediate!$C$2:$R$208,15,FALSE)=Q67, "", IF(Q67="x","+", "-"))</f>
        <v/>
      </c>
      <c r="AH67" s="1" t="str">
        <f>IF(VLOOKUP($C67,Intermediate!$C$2:$R$208,16,FALSE)=R67, "", IF(R67="x","+", "-"))</f>
        <v/>
      </c>
    </row>
    <row r="68" spans="1:34" ht="15" customHeight="1" x14ac:dyDescent="0.2">
      <c r="A68" s="8" t="s">
        <v>67</v>
      </c>
      <c r="B68" s="8" t="s">
        <v>38</v>
      </c>
      <c r="C68" s="9" t="str">
        <f t="shared" si="1"/>
        <v>TU/e Empirical Methods in Software Engineering</v>
      </c>
      <c r="D68" s="5"/>
      <c r="E68" s="5"/>
      <c r="F68" s="5"/>
      <c r="G68" s="4"/>
      <c r="H68" s="5"/>
      <c r="I68" s="5"/>
      <c r="J68" s="5" t="s">
        <v>19</v>
      </c>
      <c r="K68" s="5"/>
      <c r="L68" s="5"/>
      <c r="M68" s="5"/>
      <c r="N68" s="5"/>
      <c r="O68" s="5"/>
      <c r="P68" s="5"/>
      <c r="Q68" s="12"/>
      <c r="R68" s="5"/>
      <c r="S68" s="7"/>
      <c r="T68" s="1" t="str">
        <f>IF(VLOOKUP($C68,Intermediate!$C$2:$R$208,2,FALSE)=D68, "", IF(D68="x","+", "-"))</f>
        <v/>
      </c>
      <c r="U68" s="1" t="str">
        <f>IF(VLOOKUP($C68,Intermediate!$C$2:$R$208,3,FALSE)=E68, "", IF(E68="x","+", "-"))</f>
        <v/>
      </c>
      <c r="V68" s="1" t="str">
        <f>IF(VLOOKUP($C68,Intermediate!$C$2:$R$208,4,FALSE)=F68, "", IF(F68="x","+", "-"))</f>
        <v/>
      </c>
      <c r="W68" s="1" t="str">
        <f>IF(VLOOKUP($C68,Intermediate!$C$2:$R$208,5,FALSE)=G68, "", IF(G68="x","+", "-"))</f>
        <v/>
      </c>
      <c r="X68" s="1" t="str">
        <f>IF(VLOOKUP($C68,Intermediate!$C$2:$R$208,6,FALSE)=H68, "", IF(H68="x","+", "-"))</f>
        <v/>
      </c>
      <c r="Y68" s="1" t="str">
        <f>IF(VLOOKUP($C68,Intermediate!$C$2:$R$208,7,FALSE)=I68, "", IF(I68="x","+", "-"))</f>
        <v/>
      </c>
      <c r="Z68" s="1" t="str">
        <f>IF(VLOOKUP($C68,Intermediate!$C$2:$R$208,8,FALSE)=J68, "", IF(J68="x","+", "-"))</f>
        <v/>
      </c>
      <c r="AA68" s="1" t="str">
        <f>IF(VLOOKUP($C68,Intermediate!$C$2:$R$208,9,FALSE)=K68, "", IF(K68="x","+", "-"))</f>
        <v/>
      </c>
      <c r="AB68" s="1" t="str">
        <f>IF(VLOOKUP($C68,Intermediate!$C$2:$R$208,10,FALSE)=L68, "", IF(L68="x","+", "-"))</f>
        <v/>
      </c>
      <c r="AC68" s="1" t="str">
        <f>IF(VLOOKUP($C68,Intermediate!$C$2:$R$208,11,FALSE)=M68, "", IF(M68="x","+", "-"))</f>
        <v/>
      </c>
      <c r="AD68" s="1" t="str">
        <f>IF(VLOOKUP($C68,Intermediate!$C$2:$R$208,12,FALSE)=N68, "", IF(N68="x","+", "-"))</f>
        <v/>
      </c>
      <c r="AE68" s="1" t="str">
        <f>IF(VLOOKUP($C68,Intermediate!$C$2:$R$208,13,FALSE)=O68, "", IF(O68="x","+", "-"))</f>
        <v/>
      </c>
      <c r="AF68" s="1" t="str">
        <f>IF(VLOOKUP($C68,Intermediate!$C$2:$R$208,14,FALSE)=P68, "", IF(P68="x","+", "-"))</f>
        <v/>
      </c>
      <c r="AG68" s="1" t="str">
        <f>IF(VLOOKUP($C68,Intermediate!$C$2:$R$208,15,FALSE)=Q68, "", IF(Q68="x","+", "-"))</f>
        <v/>
      </c>
      <c r="AH68" s="1" t="str">
        <f>IF(VLOOKUP($C68,Intermediate!$C$2:$R$208,16,FALSE)=R68, "", IF(R68="x","+", "-"))</f>
        <v/>
      </c>
    </row>
    <row r="69" spans="1:34" ht="15" customHeight="1" x14ac:dyDescent="0.2">
      <c r="A69" s="8" t="s">
        <v>117</v>
      </c>
      <c r="B69" s="8" t="s">
        <v>38</v>
      </c>
      <c r="C69" s="9" t="str">
        <f t="shared" si="1"/>
        <v>TU/e Program Verification Techniques</v>
      </c>
      <c r="D69" s="5"/>
      <c r="E69" s="5"/>
      <c r="F69" s="4"/>
      <c r="G69" s="4"/>
      <c r="H69" s="12" t="s">
        <v>19</v>
      </c>
      <c r="I69" s="5"/>
      <c r="J69" s="5"/>
      <c r="K69" s="5"/>
      <c r="L69" s="5"/>
      <c r="M69" s="5"/>
      <c r="N69" s="5"/>
      <c r="O69" s="5"/>
      <c r="P69" s="5"/>
      <c r="Q69" s="5" t="s">
        <v>19</v>
      </c>
      <c r="R69" s="5"/>
      <c r="S69" s="7"/>
      <c r="T69" s="1" t="str">
        <f>IF(VLOOKUP($C69,Intermediate!$C$2:$R$208,2,FALSE)=D69, "", IF(D69="x","+", "-"))</f>
        <v/>
      </c>
      <c r="U69" s="1" t="str">
        <f>IF(VLOOKUP($C69,Intermediate!$C$2:$R$208,3,FALSE)=E69, "", IF(E69="x","+", "-"))</f>
        <v/>
      </c>
      <c r="V69" s="1" t="str">
        <f>IF(VLOOKUP($C69,Intermediate!$C$2:$R$208,4,FALSE)=F69, "", IF(F69="x","+", "-"))</f>
        <v/>
      </c>
      <c r="W69" s="1" t="str">
        <f>IF(VLOOKUP($C69,Intermediate!$C$2:$R$208,5,FALSE)=G69, "", IF(G69="x","+", "-"))</f>
        <v/>
      </c>
      <c r="X69" s="1" t="str">
        <f>IF(VLOOKUP($C69,Intermediate!$C$2:$R$208,6,FALSE)=H69, "", IF(H69="x","+", "-"))</f>
        <v/>
      </c>
      <c r="Y69" s="1" t="str">
        <f>IF(VLOOKUP($C69,Intermediate!$C$2:$R$208,7,FALSE)=I69, "", IF(I69="x","+", "-"))</f>
        <v/>
      </c>
      <c r="Z69" s="1" t="str">
        <f>IF(VLOOKUP($C69,Intermediate!$C$2:$R$208,8,FALSE)=J69, "", IF(J69="x","+", "-"))</f>
        <v/>
      </c>
      <c r="AA69" s="1" t="str">
        <f>IF(VLOOKUP($C69,Intermediate!$C$2:$R$208,9,FALSE)=K69, "", IF(K69="x","+", "-"))</f>
        <v/>
      </c>
      <c r="AB69" s="1" t="str">
        <f>IF(VLOOKUP($C69,Intermediate!$C$2:$R$208,10,FALSE)=L69, "", IF(L69="x","+", "-"))</f>
        <v/>
      </c>
      <c r="AC69" s="1" t="str">
        <f>IF(VLOOKUP($C69,Intermediate!$C$2:$R$208,11,FALSE)=M69, "", IF(M69="x","+", "-"))</f>
        <v/>
      </c>
      <c r="AD69" s="1" t="str">
        <f>IF(VLOOKUP($C69,Intermediate!$C$2:$R$208,12,FALSE)=N69, "", IF(N69="x","+", "-"))</f>
        <v/>
      </c>
      <c r="AE69" s="1" t="str">
        <f>IF(VLOOKUP($C69,Intermediate!$C$2:$R$208,13,FALSE)=O69, "", IF(O69="x","+", "-"))</f>
        <v/>
      </c>
      <c r="AF69" s="1" t="str">
        <f>IF(VLOOKUP($C69,Intermediate!$C$2:$R$208,14,FALSE)=P69, "", IF(P69="x","+", "-"))</f>
        <v/>
      </c>
      <c r="AG69" s="1" t="str">
        <f>IF(VLOOKUP($C69,Intermediate!$C$2:$R$208,15,FALSE)=Q69, "", IF(Q69="x","+", "-"))</f>
        <v/>
      </c>
      <c r="AH69" s="1" t="str">
        <f>IF(VLOOKUP($C69,Intermediate!$C$2:$R$208,16,FALSE)=R69, "", IF(R69="x","+", "-"))</f>
        <v/>
      </c>
    </row>
    <row r="70" spans="1:34" ht="15" customHeight="1" x14ac:dyDescent="0.2">
      <c r="A70" s="8" t="s">
        <v>37</v>
      </c>
      <c r="B70" s="8" t="s">
        <v>38</v>
      </c>
      <c r="C70" s="9" t="str">
        <f t="shared" si="1"/>
        <v>TU/e Software evolution</v>
      </c>
      <c r="D70" s="5"/>
      <c r="E70" s="5"/>
      <c r="F70" s="5"/>
      <c r="G70" s="5"/>
      <c r="H70" s="4"/>
      <c r="I70" s="5"/>
      <c r="J70" s="5" t="s">
        <v>19</v>
      </c>
      <c r="K70" s="5" t="s">
        <v>19</v>
      </c>
      <c r="L70" s="5"/>
      <c r="M70" s="5" t="s">
        <v>19</v>
      </c>
      <c r="N70" s="5"/>
      <c r="O70" s="5"/>
      <c r="P70" s="5"/>
      <c r="Q70" s="5"/>
      <c r="R70" s="5"/>
      <c r="S70" s="1"/>
      <c r="T70" s="1" t="str">
        <f>IF(VLOOKUP($C70,Intermediate!$C$2:$R$208,2,FALSE)=D70, "", IF(D70="x","+", "-"))</f>
        <v/>
      </c>
      <c r="U70" s="1" t="str">
        <f>IF(VLOOKUP($C70,Intermediate!$C$2:$R$208,3,FALSE)=E70, "", IF(E70="x","+", "-"))</f>
        <v/>
      </c>
      <c r="V70" s="1" t="str">
        <f>IF(VLOOKUP($C70,Intermediate!$C$2:$R$208,4,FALSE)=F70, "", IF(F70="x","+", "-"))</f>
        <v/>
      </c>
      <c r="W70" s="1" t="str">
        <f>IF(VLOOKUP($C70,Intermediate!$C$2:$R$208,5,FALSE)=G70, "", IF(G70="x","+", "-"))</f>
        <v/>
      </c>
      <c r="X70" s="1" t="str">
        <f>IF(VLOOKUP($C70,Intermediate!$C$2:$R$208,6,FALSE)=H70, "", IF(H70="x","+", "-"))</f>
        <v/>
      </c>
      <c r="Y70" s="1" t="str">
        <f>IF(VLOOKUP($C70,Intermediate!$C$2:$R$208,7,FALSE)=I70, "", IF(I70="x","+", "-"))</f>
        <v/>
      </c>
      <c r="Z70" s="1" t="str">
        <f>IF(VLOOKUP($C70,Intermediate!$C$2:$R$208,8,FALSE)=J70, "", IF(J70="x","+", "-"))</f>
        <v/>
      </c>
      <c r="AA70" s="1" t="str">
        <f>IF(VLOOKUP($C70,Intermediate!$C$2:$R$208,9,FALSE)=K70, "", IF(K70="x","+", "-"))</f>
        <v/>
      </c>
      <c r="AB70" s="1" t="str">
        <f>IF(VLOOKUP($C70,Intermediate!$C$2:$R$208,10,FALSE)=L70, "", IF(L70="x","+", "-"))</f>
        <v/>
      </c>
      <c r="AC70" s="1" t="str">
        <f>IF(VLOOKUP($C70,Intermediate!$C$2:$R$208,11,FALSE)=M70, "", IF(M70="x","+", "-"))</f>
        <v/>
      </c>
      <c r="AD70" s="1" t="str">
        <f>IF(VLOOKUP($C70,Intermediate!$C$2:$R$208,12,FALSE)=N70, "", IF(N70="x","+", "-"))</f>
        <v/>
      </c>
      <c r="AE70" s="1" t="str">
        <f>IF(VLOOKUP($C70,Intermediate!$C$2:$R$208,13,FALSE)=O70, "", IF(O70="x","+", "-"))</f>
        <v/>
      </c>
      <c r="AF70" s="1" t="str">
        <f>IF(VLOOKUP($C70,Intermediate!$C$2:$R$208,14,FALSE)=P70, "", IF(P70="x","+", "-"))</f>
        <v/>
      </c>
      <c r="AG70" s="1" t="str">
        <f>IF(VLOOKUP($C70,Intermediate!$C$2:$R$208,15,FALSE)=Q70, "", IF(Q70="x","+", "-"))</f>
        <v/>
      </c>
      <c r="AH70" s="1" t="str">
        <f>IF(VLOOKUP($C70,Intermediate!$C$2:$R$208,16,FALSE)=R70, "", IF(R70="x","+", "-"))</f>
        <v/>
      </c>
    </row>
    <row r="71" spans="1:34" ht="15" customHeight="1" x14ac:dyDescent="0.2">
      <c r="A71" s="8" t="s">
        <v>58</v>
      </c>
      <c r="B71" s="8" t="s">
        <v>38</v>
      </c>
      <c r="C71" s="9" t="str">
        <f t="shared" si="1"/>
        <v>TU/e Software project management</v>
      </c>
      <c r="D71" s="5"/>
      <c r="E71" s="12"/>
      <c r="F71" s="5"/>
      <c r="G71" s="5"/>
      <c r="H71" s="5"/>
      <c r="I71" s="5"/>
      <c r="J71" s="5"/>
      <c r="K71" s="5"/>
      <c r="L71" s="5" t="s">
        <v>19</v>
      </c>
      <c r="M71" s="5"/>
      <c r="N71" s="5"/>
      <c r="O71" s="5"/>
      <c r="P71" s="5"/>
      <c r="Q71" s="5"/>
      <c r="R71" s="5"/>
      <c r="S71" s="1"/>
      <c r="T71" s="1" t="str">
        <f>IF(VLOOKUP($C71,Intermediate!$C$2:$R$208,2,FALSE)=D71, "", IF(D71="x","+", "-"))</f>
        <v/>
      </c>
      <c r="U71" s="1" t="str">
        <f>IF(VLOOKUP($C71,Intermediate!$C$2:$R$208,3,FALSE)=E71, "", IF(E71="x","+", "-"))</f>
        <v/>
      </c>
      <c r="V71" s="1" t="str">
        <f>IF(VLOOKUP($C71,Intermediate!$C$2:$R$208,4,FALSE)=F71, "", IF(F71="x","+", "-"))</f>
        <v/>
      </c>
      <c r="W71" s="1" t="str">
        <f>IF(VLOOKUP($C71,Intermediate!$C$2:$R$208,5,FALSE)=G71, "", IF(G71="x","+", "-"))</f>
        <v/>
      </c>
      <c r="X71" s="1" t="str">
        <f>IF(VLOOKUP($C71,Intermediate!$C$2:$R$208,6,FALSE)=H71, "", IF(H71="x","+", "-"))</f>
        <v/>
      </c>
      <c r="Y71" s="1" t="str">
        <f>IF(VLOOKUP($C71,Intermediate!$C$2:$R$208,7,FALSE)=I71, "", IF(I71="x","+", "-"))</f>
        <v/>
      </c>
      <c r="Z71" s="1" t="str">
        <f>IF(VLOOKUP($C71,Intermediate!$C$2:$R$208,8,FALSE)=J71, "", IF(J71="x","+", "-"))</f>
        <v/>
      </c>
      <c r="AA71" s="1" t="str">
        <f>IF(VLOOKUP($C71,Intermediate!$C$2:$R$208,9,FALSE)=K71, "", IF(K71="x","+", "-"))</f>
        <v/>
      </c>
      <c r="AB71" s="1" t="str">
        <f>IF(VLOOKUP($C71,Intermediate!$C$2:$R$208,10,FALSE)=L71, "", IF(L71="x","+", "-"))</f>
        <v/>
      </c>
      <c r="AC71" s="1" t="str">
        <f>IF(VLOOKUP($C71,Intermediate!$C$2:$R$208,11,FALSE)=M71, "", IF(M71="x","+", "-"))</f>
        <v/>
      </c>
      <c r="AD71" s="1" t="str">
        <f>IF(VLOOKUP($C71,Intermediate!$C$2:$R$208,12,FALSE)=N71, "", IF(N71="x","+", "-"))</f>
        <v/>
      </c>
      <c r="AE71" s="1" t="str">
        <f>IF(VLOOKUP($C71,Intermediate!$C$2:$R$208,13,FALSE)=O71, "", IF(O71="x","+", "-"))</f>
        <v/>
      </c>
      <c r="AF71" s="1" t="str">
        <f>IF(VLOOKUP($C71,Intermediate!$C$2:$R$208,14,FALSE)=P71, "", IF(P71="x","+", "-"))</f>
        <v/>
      </c>
      <c r="AG71" s="1" t="str">
        <f>IF(VLOOKUP($C71,Intermediate!$C$2:$R$208,15,FALSE)=Q71, "", IF(Q71="x","+", "-"))</f>
        <v/>
      </c>
      <c r="AH71" s="1" t="str">
        <f>IF(VLOOKUP($C71,Intermediate!$C$2:$R$208,16,FALSE)=R71, "", IF(R71="x","+", "-"))</f>
        <v/>
      </c>
    </row>
    <row r="72" spans="1:34" ht="15" customHeight="1" x14ac:dyDescent="0.2">
      <c r="A72" s="8" t="s">
        <v>120</v>
      </c>
      <c r="B72" s="8" t="s">
        <v>38</v>
      </c>
      <c r="C72" s="9" t="str">
        <f t="shared" si="1"/>
        <v>TU/e System design engineering</v>
      </c>
      <c r="D72" s="5" t="s">
        <v>19</v>
      </c>
      <c r="E72" s="4" t="s">
        <v>19</v>
      </c>
      <c r="F72" s="5" t="s">
        <v>19</v>
      </c>
      <c r="G72" s="12"/>
      <c r="H72" s="5"/>
      <c r="I72" s="5"/>
      <c r="J72" s="5"/>
      <c r="K72" s="5"/>
      <c r="L72" s="5"/>
      <c r="M72" s="5"/>
      <c r="N72" s="5" t="s">
        <v>19</v>
      </c>
      <c r="O72" s="5"/>
      <c r="P72" s="5"/>
      <c r="Q72" s="12"/>
      <c r="R72" s="5"/>
      <c r="S72" s="1"/>
      <c r="T72" s="1" t="str">
        <f>IF(VLOOKUP($C72,Intermediate!$C$2:$R$208,2,FALSE)=D72, "", IF(D72="x","+", "-"))</f>
        <v/>
      </c>
      <c r="U72" s="1" t="str">
        <f>IF(VLOOKUP($C72,Intermediate!$C$2:$R$208,3,FALSE)=E72, "", IF(E72="x","+", "-"))</f>
        <v/>
      </c>
      <c r="V72" s="1" t="str">
        <f>IF(VLOOKUP($C72,Intermediate!$C$2:$R$208,4,FALSE)=F72, "", IF(F72="x","+", "-"))</f>
        <v/>
      </c>
      <c r="W72" s="1" t="str">
        <f>IF(VLOOKUP($C72,Intermediate!$C$2:$R$208,5,FALSE)=G72, "", IF(G72="x","+", "-"))</f>
        <v/>
      </c>
      <c r="X72" s="1" t="str">
        <f>IF(VLOOKUP($C72,Intermediate!$C$2:$R$208,6,FALSE)=H72, "", IF(H72="x","+", "-"))</f>
        <v/>
      </c>
      <c r="Y72" s="1" t="str">
        <f>IF(VLOOKUP($C72,Intermediate!$C$2:$R$208,7,FALSE)=I72, "", IF(I72="x","+", "-"))</f>
        <v/>
      </c>
      <c r="Z72" s="1" t="str">
        <f>IF(VLOOKUP($C72,Intermediate!$C$2:$R$208,8,FALSE)=J72, "", IF(J72="x","+", "-"))</f>
        <v/>
      </c>
      <c r="AA72" s="1" t="str">
        <f>IF(VLOOKUP($C72,Intermediate!$C$2:$R$208,9,FALSE)=K72, "", IF(K72="x","+", "-"))</f>
        <v/>
      </c>
      <c r="AB72" s="1" t="str">
        <f>IF(VLOOKUP($C72,Intermediate!$C$2:$R$208,10,FALSE)=L72, "", IF(L72="x","+", "-"))</f>
        <v/>
      </c>
      <c r="AC72" s="1" t="str">
        <f>IF(VLOOKUP($C72,Intermediate!$C$2:$R$208,11,FALSE)=M72, "", IF(M72="x","+", "-"))</f>
        <v/>
      </c>
      <c r="AD72" s="1" t="str">
        <f>IF(VLOOKUP($C72,Intermediate!$C$2:$R$208,12,FALSE)=N72, "", IF(N72="x","+", "-"))</f>
        <v/>
      </c>
      <c r="AE72" s="1" t="str">
        <f>IF(VLOOKUP($C72,Intermediate!$C$2:$R$208,13,FALSE)=O72, "", IF(O72="x","+", "-"))</f>
        <v/>
      </c>
      <c r="AF72" s="1" t="str">
        <f>IF(VLOOKUP($C72,Intermediate!$C$2:$R$208,14,FALSE)=P72, "", IF(P72="x","+", "-"))</f>
        <v/>
      </c>
      <c r="AG72" s="1" t="str">
        <f>IF(VLOOKUP($C72,Intermediate!$C$2:$R$208,15,FALSE)=Q72, "", IF(Q72="x","+", "-"))</f>
        <v/>
      </c>
      <c r="AH72" s="1" t="str">
        <f>IF(VLOOKUP($C72,Intermediate!$C$2:$R$208,16,FALSE)=R72, "", IF(R72="x","+", "-"))</f>
        <v/>
      </c>
    </row>
    <row r="73" spans="1:34" ht="15" customHeight="1" x14ac:dyDescent="0.2">
      <c r="A73" s="8" t="s">
        <v>121</v>
      </c>
      <c r="B73" s="8" t="s">
        <v>21</v>
      </c>
      <c r="C73" s="9" t="str">
        <f t="shared" si="1"/>
        <v>TUD Concepts of Programming Languages</v>
      </c>
      <c r="D73" s="5"/>
      <c r="E73" s="5"/>
      <c r="F73" s="5"/>
      <c r="G73" s="4"/>
      <c r="H73" s="5"/>
      <c r="I73" s="5"/>
      <c r="J73" s="5"/>
      <c r="K73" s="5"/>
      <c r="L73" s="5"/>
      <c r="M73" s="5"/>
      <c r="N73" s="5"/>
      <c r="O73" s="5"/>
      <c r="P73" s="5"/>
      <c r="Q73" s="4"/>
      <c r="R73" s="12" t="s">
        <v>19</v>
      </c>
      <c r="S73" s="1"/>
      <c r="T73" s="1" t="str">
        <f>IF(VLOOKUP($C73,Intermediate!$C$2:$R$208,2,FALSE)=D73, "", IF(D73="x","+", "-"))</f>
        <v/>
      </c>
      <c r="U73" s="1" t="str">
        <f>IF(VLOOKUP($C73,Intermediate!$C$2:$R$208,3,FALSE)=E73, "", IF(E73="x","+", "-"))</f>
        <v/>
      </c>
      <c r="V73" s="1" t="str">
        <f>IF(VLOOKUP($C73,Intermediate!$C$2:$R$208,4,FALSE)=F73, "", IF(F73="x","+", "-"))</f>
        <v/>
      </c>
      <c r="W73" s="1" t="str">
        <f>IF(VLOOKUP($C73,Intermediate!$C$2:$R$208,5,FALSE)=G73, "", IF(G73="x","+", "-"))</f>
        <v/>
      </c>
      <c r="X73" s="1" t="str">
        <f>IF(VLOOKUP($C73,Intermediate!$C$2:$R$208,6,FALSE)=H73, "", IF(H73="x","+", "-"))</f>
        <v/>
      </c>
      <c r="Y73" s="1" t="str">
        <f>IF(VLOOKUP($C73,Intermediate!$C$2:$R$208,7,FALSE)=I73, "", IF(I73="x","+", "-"))</f>
        <v/>
      </c>
      <c r="Z73" s="1" t="str">
        <f>IF(VLOOKUP($C73,Intermediate!$C$2:$R$208,8,FALSE)=J73, "", IF(J73="x","+", "-"))</f>
        <v/>
      </c>
      <c r="AA73" s="1" t="str">
        <f>IF(VLOOKUP($C73,Intermediate!$C$2:$R$208,9,FALSE)=K73, "", IF(K73="x","+", "-"))</f>
        <v/>
      </c>
      <c r="AB73" s="1" t="str">
        <f>IF(VLOOKUP($C73,Intermediate!$C$2:$R$208,10,FALSE)=L73, "", IF(L73="x","+", "-"))</f>
        <v/>
      </c>
      <c r="AC73" s="1" t="str">
        <f>IF(VLOOKUP($C73,Intermediate!$C$2:$R$208,11,FALSE)=M73, "", IF(M73="x","+", "-"))</f>
        <v/>
      </c>
      <c r="AD73" s="1" t="str">
        <f>IF(VLOOKUP($C73,Intermediate!$C$2:$R$208,12,FALSE)=N73, "", IF(N73="x","+", "-"))</f>
        <v/>
      </c>
      <c r="AE73" s="1" t="str">
        <f>IF(VLOOKUP($C73,Intermediate!$C$2:$R$208,13,FALSE)=O73, "", IF(O73="x","+", "-"))</f>
        <v/>
      </c>
      <c r="AF73" s="1" t="str">
        <f>IF(VLOOKUP($C73,Intermediate!$C$2:$R$208,14,FALSE)=P73, "", IF(P73="x","+", "-"))</f>
        <v/>
      </c>
      <c r="AG73" s="1" t="str">
        <f>IF(VLOOKUP($C73,Intermediate!$C$2:$R$208,15,FALSE)=Q73, "", IF(Q73="x","+", "-"))</f>
        <v/>
      </c>
      <c r="AH73" s="1" t="str">
        <f>IF(VLOOKUP($C73,Intermediate!$C$2:$R$208,16,FALSE)=R73, "", IF(R73="x","+", "-"))</f>
        <v/>
      </c>
    </row>
    <row r="74" spans="1:34" ht="15" customHeight="1" x14ac:dyDescent="0.2">
      <c r="A74" s="8" t="s">
        <v>86</v>
      </c>
      <c r="B74" s="8" t="s">
        <v>21</v>
      </c>
      <c r="C74" s="9" t="str">
        <f t="shared" si="1"/>
        <v>TUD Functional Programming</v>
      </c>
      <c r="D74" s="5"/>
      <c r="E74" s="5"/>
      <c r="F74" s="5"/>
      <c r="G74" s="5" t="s">
        <v>19</v>
      </c>
      <c r="H74" s="5"/>
      <c r="I74" s="5"/>
      <c r="J74" s="5"/>
      <c r="K74" s="5"/>
      <c r="L74" s="5"/>
      <c r="M74" s="5"/>
      <c r="N74" s="5"/>
      <c r="O74" s="5"/>
      <c r="P74" s="5"/>
      <c r="Q74" s="5" t="s">
        <v>19</v>
      </c>
      <c r="R74" s="4"/>
      <c r="S74" s="1"/>
      <c r="T74" s="1" t="str">
        <f>IF(VLOOKUP($C74,Intermediate!$C$2:$R$208,2,FALSE)=D74, "", IF(D74="x","+", "-"))</f>
        <v/>
      </c>
      <c r="U74" s="1" t="str">
        <f>IF(VLOOKUP($C74,Intermediate!$C$2:$R$208,3,FALSE)=E74, "", IF(E74="x","+", "-"))</f>
        <v/>
      </c>
      <c r="V74" s="1" t="str">
        <f>IF(VLOOKUP($C74,Intermediate!$C$2:$R$208,4,FALSE)=F74, "", IF(F74="x","+", "-"))</f>
        <v/>
      </c>
      <c r="W74" s="1" t="str">
        <f>IF(VLOOKUP($C74,Intermediate!$C$2:$R$208,5,FALSE)=G74, "", IF(G74="x","+", "-"))</f>
        <v/>
      </c>
      <c r="X74" s="1" t="str">
        <f>IF(VLOOKUP($C74,Intermediate!$C$2:$R$208,6,FALSE)=H74, "", IF(H74="x","+", "-"))</f>
        <v/>
      </c>
      <c r="Y74" s="1" t="str">
        <f>IF(VLOOKUP($C74,Intermediate!$C$2:$R$208,7,FALSE)=I74, "", IF(I74="x","+", "-"))</f>
        <v/>
      </c>
      <c r="Z74" s="1" t="str">
        <f>IF(VLOOKUP($C74,Intermediate!$C$2:$R$208,8,FALSE)=J74, "", IF(J74="x","+", "-"))</f>
        <v/>
      </c>
      <c r="AA74" s="1" t="str">
        <f>IF(VLOOKUP($C74,Intermediate!$C$2:$R$208,9,FALSE)=K74, "", IF(K74="x","+", "-"))</f>
        <v/>
      </c>
      <c r="AB74" s="1" t="str">
        <f>IF(VLOOKUP($C74,Intermediate!$C$2:$R$208,10,FALSE)=L74, "", IF(L74="x","+", "-"))</f>
        <v/>
      </c>
      <c r="AC74" s="1" t="str">
        <f>IF(VLOOKUP($C74,Intermediate!$C$2:$R$208,11,FALSE)=M74, "", IF(M74="x","+", "-"))</f>
        <v/>
      </c>
      <c r="AD74" s="1" t="str">
        <f>IF(VLOOKUP($C74,Intermediate!$C$2:$R$208,12,FALSE)=N74, "", IF(N74="x","+", "-"))</f>
        <v/>
      </c>
      <c r="AE74" s="1" t="str">
        <f>IF(VLOOKUP($C74,Intermediate!$C$2:$R$208,13,FALSE)=O74, "", IF(O74="x","+", "-"))</f>
        <v/>
      </c>
      <c r="AF74" s="1" t="str">
        <f>IF(VLOOKUP($C74,Intermediate!$C$2:$R$208,14,FALSE)=P74, "", IF(P74="x","+", "-"))</f>
        <v/>
      </c>
      <c r="AG74" s="1" t="str">
        <f>IF(VLOOKUP($C74,Intermediate!$C$2:$R$208,15,FALSE)=Q74, "", IF(Q74="x","+", "-"))</f>
        <v/>
      </c>
      <c r="AH74" s="1" t="str">
        <f>IF(VLOOKUP($C74,Intermediate!$C$2:$R$208,16,FALSE)=R74, "", IF(R74="x","+", "-"))</f>
        <v/>
      </c>
    </row>
    <row r="75" spans="1:34" ht="15" customHeight="1" x14ac:dyDescent="0.2">
      <c r="A75" s="8" t="s">
        <v>125</v>
      </c>
      <c r="B75" s="8" t="s">
        <v>21</v>
      </c>
      <c r="C75" s="9" t="str">
        <f t="shared" si="1"/>
        <v>TUD Object-Oriented Programming</v>
      </c>
      <c r="D75" s="5"/>
      <c r="E75" s="5"/>
      <c r="F75" s="5"/>
      <c r="G75" s="5" t="s">
        <v>19</v>
      </c>
      <c r="H75" s="5"/>
      <c r="I75" s="12"/>
      <c r="J75" s="12"/>
      <c r="K75" s="5"/>
      <c r="L75" s="12"/>
      <c r="M75" s="12"/>
      <c r="N75" s="5"/>
      <c r="O75" s="5"/>
      <c r="P75" s="5"/>
      <c r="Q75" s="5"/>
      <c r="R75" s="5"/>
      <c r="S75" s="7"/>
      <c r="T75" s="1" t="str">
        <f>IF(VLOOKUP($C75,Intermediate!$C$2:$R$208,2,FALSE)=D75, "", IF(D75="x","+", "-"))</f>
        <v/>
      </c>
      <c r="U75" s="1" t="str">
        <f>IF(VLOOKUP($C75,Intermediate!$C$2:$R$208,3,FALSE)=E75, "", IF(E75="x","+", "-"))</f>
        <v/>
      </c>
      <c r="V75" s="1" t="str">
        <f>IF(VLOOKUP($C75,Intermediate!$C$2:$R$208,4,FALSE)=F75, "", IF(F75="x","+", "-"))</f>
        <v/>
      </c>
      <c r="W75" s="1" t="str">
        <f>IF(VLOOKUP($C75,Intermediate!$C$2:$R$208,5,FALSE)=G75, "", IF(G75="x","+", "-"))</f>
        <v/>
      </c>
      <c r="X75" s="1" t="str">
        <f>IF(VLOOKUP($C75,Intermediate!$C$2:$R$208,6,FALSE)=H75, "", IF(H75="x","+", "-"))</f>
        <v/>
      </c>
      <c r="Y75" s="1" t="str">
        <f>IF(VLOOKUP($C75,Intermediate!$C$2:$R$208,7,FALSE)=I75, "", IF(I75="x","+", "-"))</f>
        <v/>
      </c>
      <c r="Z75" s="1" t="str">
        <f>IF(VLOOKUP($C75,Intermediate!$C$2:$R$208,8,FALSE)=J75, "", IF(J75="x","+", "-"))</f>
        <v/>
      </c>
      <c r="AA75" s="1" t="str">
        <f>IF(VLOOKUP($C75,Intermediate!$C$2:$R$208,9,FALSE)=K75, "", IF(K75="x","+", "-"))</f>
        <v/>
      </c>
      <c r="AB75" s="1" t="str">
        <f>IF(VLOOKUP($C75,Intermediate!$C$2:$R$208,10,FALSE)=L75, "", IF(L75="x","+", "-"))</f>
        <v/>
      </c>
      <c r="AC75" s="1" t="str">
        <f>IF(VLOOKUP($C75,Intermediate!$C$2:$R$208,11,FALSE)=M75, "", IF(M75="x","+", "-"))</f>
        <v/>
      </c>
      <c r="AD75" s="1" t="str">
        <f>IF(VLOOKUP($C75,Intermediate!$C$2:$R$208,12,FALSE)=N75, "", IF(N75="x","+", "-"))</f>
        <v/>
      </c>
      <c r="AE75" s="1" t="str">
        <f>IF(VLOOKUP($C75,Intermediate!$C$2:$R$208,13,FALSE)=O75, "", IF(O75="x","+", "-"))</f>
        <v/>
      </c>
      <c r="AF75" s="1" t="str">
        <f>IF(VLOOKUP($C75,Intermediate!$C$2:$R$208,14,FALSE)=P75, "", IF(P75="x","+", "-"))</f>
        <v/>
      </c>
      <c r="AG75" s="1" t="str">
        <f>IF(VLOOKUP($C75,Intermediate!$C$2:$R$208,15,FALSE)=Q75, "", IF(Q75="x","+", "-"))</f>
        <v/>
      </c>
      <c r="AH75" s="1" t="str">
        <f>IF(VLOOKUP($C75,Intermediate!$C$2:$R$208,16,FALSE)=R75, "", IF(R75="x","+", "-"))</f>
        <v/>
      </c>
    </row>
    <row r="76" spans="1:34" ht="15" customHeight="1" x14ac:dyDescent="0.2">
      <c r="A76" s="8" t="s">
        <v>122</v>
      </c>
      <c r="B76" s="8" t="s">
        <v>21</v>
      </c>
      <c r="C76" s="9" t="str">
        <f t="shared" si="1"/>
        <v>TUD OOP Project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7"/>
      <c r="T76" s="1" t="str">
        <f>IF(VLOOKUP($C76,Intermediate!$C$2:$R$208,2,FALSE)=D76, "", IF(D76="x","+", "-"))</f>
        <v/>
      </c>
      <c r="U76" s="1" t="str">
        <f>IF(VLOOKUP($C76,Intermediate!$C$2:$R$208,3,FALSE)=E76, "", IF(E76="x","+", "-"))</f>
        <v/>
      </c>
      <c r="V76" s="1" t="str">
        <f>IF(VLOOKUP($C76,Intermediate!$C$2:$R$208,4,FALSE)=F76, "", IF(F76="x","+", "-"))</f>
        <v/>
      </c>
      <c r="W76" s="1" t="str">
        <f>IF(VLOOKUP($C76,Intermediate!$C$2:$R$208,5,FALSE)=G76, "", IF(G76="x","+", "-"))</f>
        <v/>
      </c>
      <c r="X76" s="1" t="str">
        <f>IF(VLOOKUP($C76,Intermediate!$C$2:$R$208,6,FALSE)=H76, "", IF(H76="x","+", "-"))</f>
        <v/>
      </c>
      <c r="Y76" s="1" t="str">
        <f>IF(VLOOKUP($C76,Intermediate!$C$2:$R$208,7,FALSE)=I76, "", IF(I76="x","+", "-"))</f>
        <v/>
      </c>
      <c r="Z76" s="1" t="str">
        <f>IF(VLOOKUP($C76,Intermediate!$C$2:$R$208,8,FALSE)=J76, "", IF(J76="x","+", "-"))</f>
        <v/>
      </c>
      <c r="AA76" s="1" t="str">
        <f>IF(VLOOKUP($C76,Intermediate!$C$2:$R$208,9,FALSE)=K76, "", IF(K76="x","+", "-"))</f>
        <v/>
      </c>
      <c r="AB76" s="1" t="str">
        <f>IF(VLOOKUP($C76,Intermediate!$C$2:$R$208,10,FALSE)=L76, "", IF(L76="x","+", "-"))</f>
        <v/>
      </c>
      <c r="AC76" s="1" t="str">
        <f>IF(VLOOKUP($C76,Intermediate!$C$2:$R$208,11,FALSE)=M76, "", IF(M76="x","+", "-"))</f>
        <v/>
      </c>
      <c r="AD76" s="1" t="str">
        <f>IF(VLOOKUP($C76,Intermediate!$C$2:$R$208,12,FALSE)=N76, "", IF(N76="x","+", "-"))</f>
        <v/>
      </c>
      <c r="AE76" s="1" t="str">
        <f>IF(VLOOKUP($C76,Intermediate!$C$2:$R$208,13,FALSE)=O76, "", IF(O76="x","+", "-"))</f>
        <v/>
      </c>
      <c r="AF76" s="1" t="str">
        <f>IF(VLOOKUP($C76,Intermediate!$C$2:$R$208,14,FALSE)=P76, "", IF(P76="x","+", "-"))</f>
        <v/>
      </c>
      <c r="AG76" s="1" t="str">
        <f>IF(VLOOKUP($C76,Intermediate!$C$2:$R$208,15,FALSE)=Q76, "", IF(Q76="x","+", "-"))</f>
        <v/>
      </c>
      <c r="AH76" s="1" t="str">
        <f>IF(VLOOKUP($C76,Intermediate!$C$2:$R$208,16,FALSE)=R76, "", IF(R76="x","+", "-"))</f>
        <v/>
      </c>
    </row>
    <row r="77" spans="1:34" ht="15" customHeight="1" x14ac:dyDescent="0.2">
      <c r="A77" s="8" t="s">
        <v>23</v>
      </c>
      <c r="B77" s="8" t="s">
        <v>21</v>
      </c>
      <c r="C77" s="9" t="str">
        <f t="shared" si="1"/>
        <v>TUD Software Engineering Methods</v>
      </c>
      <c r="D77" s="5"/>
      <c r="E77" s="5"/>
      <c r="F77" s="5"/>
      <c r="G77" s="5"/>
      <c r="H77" s="5"/>
      <c r="I77" s="4" t="s">
        <v>19</v>
      </c>
      <c r="J77" s="4" t="s">
        <v>19</v>
      </c>
      <c r="K77" s="5"/>
      <c r="L77" s="4" t="s">
        <v>19</v>
      </c>
      <c r="M77" s="4" t="s">
        <v>19</v>
      </c>
      <c r="N77" s="5"/>
      <c r="O77" s="5"/>
      <c r="P77" s="5"/>
      <c r="Q77" s="5"/>
      <c r="R77" s="5"/>
      <c r="S77" s="1"/>
      <c r="T77" s="1" t="str">
        <f>IF(VLOOKUP($C77,Intermediate!$C$2:$R$208,2,FALSE)=D77, "", IF(D77="x","+", "-"))</f>
        <v/>
      </c>
      <c r="U77" s="1" t="str">
        <f>IF(VLOOKUP($C77,Intermediate!$C$2:$R$208,3,FALSE)=E77, "", IF(E77="x","+", "-"))</f>
        <v/>
      </c>
      <c r="V77" s="1" t="str">
        <f>IF(VLOOKUP($C77,Intermediate!$C$2:$R$208,4,FALSE)=F77, "", IF(F77="x","+", "-"))</f>
        <v/>
      </c>
      <c r="W77" s="1" t="str">
        <f>IF(VLOOKUP($C77,Intermediate!$C$2:$R$208,5,FALSE)=G77, "", IF(G77="x","+", "-"))</f>
        <v/>
      </c>
      <c r="X77" s="1" t="str">
        <f>IF(VLOOKUP($C77,Intermediate!$C$2:$R$208,6,FALSE)=H77, "", IF(H77="x","+", "-"))</f>
        <v/>
      </c>
      <c r="Y77" s="1" t="str">
        <f>IF(VLOOKUP($C77,Intermediate!$C$2:$R$208,7,FALSE)=I77, "", IF(I77="x","+", "-"))</f>
        <v/>
      </c>
      <c r="Z77" s="1" t="str">
        <f>IF(VLOOKUP($C77,Intermediate!$C$2:$R$208,8,FALSE)=J77, "", IF(J77="x","+", "-"))</f>
        <v/>
      </c>
      <c r="AA77" s="1" t="str">
        <f>IF(VLOOKUP($C77,Intermediate!$C$2:$R$208,9,FALSE)=K77, "", IF(K77="x","+", "-"))</f>
        <v/>
      </c>
      <c r="AB77" s="1" t="str">
        <f>IF(VLOOKUP($C77,Intermediate!$C$2:$R$208,10,FALSE)=L77, "", IF(L77="x","+", "-"))</f>
        <v/>
      </c>
      <c r="AC77" s="1" t="str">
        <f>IF(VLOOKUP($C77,Intermediate!$C$2:$R$208,11,FALSE)=M77, "", IF(M77="x","+", "-"))</f>
        <v/>
      </c>
      <c r="AD77" s="1" t="str">
        <f>IF(VLOOKUP($C77,Intermediate!$C$2:$R$208,12,FALSE)=N77, "", IF(N77="x","+", "-"))</f>
        <v/>
      </c>
      <c r="AE77" s="1" t="str">
        <f>IF(VLOOKUP($C77,Intermediate!$C$2:$R$208,13,FALSE)=O77, "", IF(O77="x","+", "-"))</f>
        <v/>
      </c>
      <c r="AF77" s="1" t="str">
        <f>IF(VLOOKUP($C77,Intermediate!$C$2:$R$208,14,FALSE)=P77, "", IF(P77="x","+", "-"))</f>
        <v/>
      </c>
      <c r="AG77" s="1" t="str">
        <f>IF(VLOOKUP($C77,Intermediate!$C$2:$R$208,15,FALSE)=Q77, "", IF(Q77="x","+", "-"))</f>
        <v/>
      </c>
      <c r="AH77" s="1" t="str">
        <f>IF(VLOOKUP($C77,Intermediate!$C$2:$R$208,16,FALSE)=R77, "", IF(R77="x","+", "-"))</f>
        <v/>
      </c>
    </row>
    <row r="78" spans="1:34" ht="15" customHeight="1" x14ac:dyDescent="0.2">
      <c r="A78" s="8" t="s">
        <v>123</v>
      </c>
      <c r="B78" s="8" t="s">
        <v>21</v>
      </c>
      <c r="C78" s="9" t="str">
        <f t="shared" si="1"/>
        <v>TUD Software Engineering Methods (Minors)</v>
      </c>
      <c r="D78" s="5"/>
      <c r="E78" s="5"/>
      <c r="F78" s="12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1"/>
      <c r="T78" s="1" t="str">
        <f>IF(VLOOKUP($C78,Intermediate!$C$2:$R$208,2,FALSE)=D78, "", IF(D78="x","+", "-"))</f>
        <v/>
      </c>
      <c r="U78" s="1" t="str">
        <f>IF(VLOOKUP($C78,Intermediate!$C$2:$R$208,3,FALSE)=E78, "", IF(E78="x","+", "-"))</f>
        <v/>
      </c>
      <c r="V78" s="1" t="str">
        <f>IF(VLOOKUP($C78,Intermediate!$C$2:$R$208,4,FALSE)=F78, "", IF(F78="x","+", "-"))</f>
        <v/>
      </c>
      <c r="W78" s="1" t="str">
        <f>IF(VLOOKUP($C78,Intermediate!$C$2:$R$208,5,FALSE)=G78, "", IF(G78="x","+", "-"))</f>
        <v/>
      </c>
      <c r="X78" s="1" t="str">
        <f>IF(VLOOKUP($C78,Intermediate!$C$2:$R$208,6,FALSE)=H78, "", IF(H78="x","+", "-"))</f>
        <v/>
      </c>
      <c r="Y78" s="1" t="str">
        <f>IF(VLOOKUP($C78,Intermediate!$C$2:$R$208,7,FALSE)=I78, "", IF(I78="x","+", "-"))</f>
        <v/>
      </c>
      <c r="Z78" s="1" t="str">
        <f>IF(VLOOKUP($C78,Intermediate!$C$2:$R$208,8,FALSE)=J78, "", IF(J78="x","+", "-"))</f>
        <v/>
      </c>
      <c r="AA78" s="1" t="str">
        <f>IF(VLOOKUP($C78,Intermediate!$C$2:$R$208,9,FALSE)=K78, "", IF(K78="x","+", "-"))</f>
        <v/>
      </c>
      <c r="AB78" s="1" t="str">
        <f>IF(VLOOKUP($C78,Intermediate!$C$2:$R$208,10,FALSE)=L78, "", IF(L78="x","+", "-"))</f>
        <v/>
      </c>
      <c r="AC78" s="1" t="str">
        <f>IF(VLOOKUP($C78,Intermediate!$C$2:$R$208,11,FALSE)=M78, "", IF(M78="x","+", "-"))</f>
        <v/>
      </c>
      <c r="AD78" s="1" t="str">
        <f>IF(VLOOKUP($C78,Intermediate!$C$2:$R$208,12,FALSE)=N78, "", IF(N78="x","+", "-"))</f>
        <v/>
      </c>
      <c r="AE78" s="1" t="str">
        <f>IF(VLOOKUP($C78,Intermediate!$C$2:$R$208,13,FALSE)=O78, "", IF(O78="x","+", "-"))</f>
        <v/>
      </c>
      <c r="AF78" s="1" t="str">
        <f>IF(VLOOKUP($C78,Intermediate!$C$2:$R$208,14,FALSE)=P78, "", IF(P78="x","+", "-"))</f>
        <v/>
      </c>
      <c r="AG78" s="1" t="str">
        <f>IF(VLOOKUP($C78,Intermediate!$C$2:$R$208,15,FALSE)=Q78, "", IF(Q78="x","+", "-"))</f>
        <v/>
      </c>
      <c r="AH78" s="1" t="str">
        <f>IF(VLOOKUP($C78,Intermediate!$C$2:$R$208,16,FALSE)=R78, "", IF(R78="x","+", "-"))</f>
        <v/>
      </c>
    </row>
    <row r="79" spans="1:34" ht="15" customHeight="1" x14ac:dyDescent="0.2">
      <c r="A79" s="8" t="s">
        <v>124</v>
      </c>
      <c r="B79" s="8" t="s">
        <v>21</v>
      </c>
      <c r="C79" s="9" t="str">
        <f t="shared" si="1"/>
        <v>TUD Software Project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1"/>
      <c r="T79" s="1" t="str">
        <f>IF(VLOOKUP($C79,Intermediate!$C$2:$R$208,2,FALSE)=D79, "", IF(D79="x","+", "-"))</f>
        <v/>
      </c>
      <c r="U79" s="1" t="str">
        <f>IF(VLOOKUP($C79,Intermediate!$C$2:$R$208,3,FALSE)=E79, "", IF(E79="x","+", "-"))</f>
        <v/>
      </c>
      <c r="V79" s="1" t="str">
        <f>IF(VLOOKUP($C79,Intermediate!$C$2:$R$208,4,FALSE)=F79, "", IF(F79="x","+", "-"))</f>
        <v/>
      </c>
      <c r="W79" s="1" t="str">
        <f>IF(VLOOKUP($C79,Intermediate!$C$2:$R$208,5,FALSE)=G79, "", IF(G79="x","+", "-"))</f>
        <v/>
      </c>
      <c r="X79" s="1" t="str">
        <f>IF(VLOOKUP($C79,Intermediate!$C$2:$R$208,6,FALSE)=H79, "", IF(H79="x","+", "-"))</f>
        <v/>
      </c>
      <c r="Y79" s="1" t="str">
        <f>IF(VLOOKUP($C79,Intermediate!$C$2:$R$208,7,FALSE)=I79, "", IF(I79="x","+", "-"))</f>
        <v/>
      </c>
      <c r="Z79" s="1" t="str">
        <f>IF(VLOOKUP($C79,Intermediate!$C$2:$R$208,8,FALSE)=J79, "", IF(J79="x","+", "-"))</f>
        <v/>
      </c>
      <c r="AA79" s="1" t="str">
        <f>IF(VLOOKUP($C79,Intermediate!$C$2:$R$208,9,FALSE)=K79, "", IF(K79="x","+", "-"))</f>
        <v/>
      </c>
      <c r="AB79" s="1" t="str">
        <f>IF(VLOOKUP($C79,Intermediate!$C$2:$R$208,10,FALSE)=L79, "", IF(L79="x","+", "-"))</f>
        <v/>
      </c>
      <c r="AC79" s="1" t="str">
        <f>IF(VLOOKUP($C79,Intermediate!$C$2:$R$208,11,FALSE)=M79, "", IF(M79="x","+", "-"))</f>
        <v/>
      </c>
      <c r="AD79" s="1" t="str">
        <f>IF(VLOOKUP($C79,Intermediate!$C$2:$R$208,12,FALSE)=N79, "", IF(N79="x","+", "-"))</f>
        <v/>
      </c>
      <c r="AE79" s="1" t="str">
        <f>IF(VLOOKUP($C79,Intermediate!$C$2:$R$208,13,FALSE)=O79, "", IF(O79="x","+", "-"))</f>
        <v/>
      </c>
      <c r="AF79" s="1" t="str">
        <f>IF(VLOOKUP($C79,Intermediate!$C$2:$R$208,14,FALSE)=P79, "", IF(P79="x","+", "-"))</f>
        <v/>
      </c>
      <c r="AG79" s="1" t="str">
        <f>IF(VLOOKUP($C79,Intermediate!$C$2:$R$208,15,FALSE)=Q79, "", IF(Q79="x","+", "-"))</f>
        <v/>
      </c>
      <c r="AH79" s="1" t="str">
        <f>IF(VLOOKUP($C79,Intermediate!$C$2:$R$208,16,FALSE)=R79, "", IF(R79="x","+", "-"))</f>
        <v/>
      </c>
    </row>
    <row r="80" spans="1:34" ht="15" customHeight="1" x14ac:dyDescent="0.2">
      <c r="A80" s="8" t="s">
        <v>165</v>
      </c>
      <c r="B80" s="8" t="s">
        <v>21</v>
      </c>
      <c r="C80" s="9" t="str">
        <f t="shared" si="1"/>
        <v>TUD Software Quality and Testing</v>
      </c>
      <c r="D80" s="5"/>
      <c r="E80" s="5"/>
      <c r="F80" s="4"/>
      <c r="G80" s="5"/>
      <c r="H80" s="5" t="s">
        <v>19</v>
      </c>
      <c r="I80" s="5"/>
      <c r="J80" s="5"/>
      <c r="K80" s="5"/>
      <c r="L80" s="5"/>
      <c r="M80" s="5"/>
      <c r="N80" s="5"/>
      <c r="O80" s="5"/>
      <c r="P80" s="5"/>
      <c r="Q80" s="5"/>
      <c r="R80" s="5"/>
      <c r="S80" s="1"/>
      <c r="T80" s="1" t="str">
        <f>IF(VLOOKUP($C80,Intermediate!$C$2:$R$208,2,FALSE)=D80, "", IF(D80="x","+", "-"))</f>
        <v/>
      </c>
      <c r="U80" s="1" t="str">
        <f>IF(VLOOKUP($C80,Intermediate!$C$2:$R$208,3,FALSE)=E80, "", IF(E80="x","+", "-"))</f>
        <v/>
      </c>
      <c r="V80" s="1" t="str">
        <f>IF(VLOOKUP($C80,Intermediate!$C$2:$R$208,4,FALSE)=F80, "", IF(F80="x","+", "-"))</f>
        <v/>
      </c>
      <c r="W80" s="1" t="str">
        <f>IF(VLOOKUP($C80,Intermediate!$C$2:$R$208,5,FALSE)=G80, "", IF(G80="x","+", "-"))</f>
        <v/>
      </c>
      <c r="X80" s="1" t="str">
        <f>IF(VLOOKUP($C80,Intermediate!$C$2:$R$208,6,FALSE)=H80, "", IF(H80="x","+", "-"))</f>
        <v/>
      </c>
      <c r="Y80" s="1" t="str">
        <f>IF(VLOOKUP($C80,Intermediate!$C$2:$R$208,7,FALSE)=I80, "", IF(I80="x","+", "-"))</f>
        <v/>
      </c>
      <c r="Z80" s="1" t="str">
        <f>IF(VLOOKUP($C80,Intermediate!$C$2:$R$208,8,FALSE)=J80, "", IF(J80="x","+", "-"))</f>
        <v/>
      </c>
      <c r="AA80" s="1" t="str">
        <f>IF(VLOOKUP($C80,Intermediate!$C$2:$R$208,9,FALSE)=K80, "", IF(K80="x","+", "-"))</f>
        <v/>
      </c>
      <c r="AB80" s="1" t="str">
        <f>IF(VLOOKUP($C80,Intermediate!$C$2:$R$208,10,FALSE)=L80, "", IF(L80="x","+", "-"))</f>
        <v/>
      </c>
      <c r="AC80" s="1" t="str">
        <f>IF(VLOOKUP($C80,Intermediate!$C$2:$R$208,11,FALSE)=M80, "", IF(M80="x","+", "-"))</f>
        <v/>
      </c>
      <c r="AD80" s="1" t="str">
        <f>IF(VLOOKUP($C80,Intermediate!$C$2:$R$208,12,FALSE)=N80, "", IF(N80="x","+", "-"))</f>
        <v/>
      </c>
      <c r="AE80" s="1" t="str">
        <f>IF(VLOOKUP($C80,Intermediate!$C$2:$R$208,13,FALSE)=O80, "", IF(O80="x","+", "-"))</f>
        <v/>
      </c>
      <c r="AF80" s="1" t="str">
        <f>IF(VLOOKUP($C80,Intermediate!$C$2:$R$208,14,FALSE)=P80, "", IF(P80="x","+", "-"))</f>
        <v/>
      </c>
      <c r="AG80" s="1" t="str">
        <f>IF(VLOOKUP($C80,Intermediate!$C$2:$R$208,15,FALSE)=Q80, "", IF(Q80="x","+", "-"))</f>
        <v/>
      </c>
      <c r="AH80" s="1" t="str">
        <f>IF(VLOOKUP($C80,Intermediate!$C$2:$R$208,16,FALSE)=R80, "", IF(R80="x","+", "-"))</f>
        <v/>
      </c>
    </row>
    <row r="81" spans="1:34" ht="15" customHeight="1" x14ac:dyDescent="0.2">
      <c r="A81" s="8" t="s">
        <v>59</v>
      </c>
      <c r="B81" s="8" t="s">
        <v>21</v>
      </c>
      <c r="C81" s="9" t="str">
        <f t="shared" si="1"/>
        <v>TUD Analytics and Machine Learning for Software Engineering</v>
      </c>
      <c r="D81" s="5"/>
      <c r="E81" s="5"/>
      <c r="F81" s="5"/>
      <c r="G81" s="5"/>
      <c r="H81" s="5"/>
      <c r="I81" s="5"/>
      <c r="J81" s="5"/>
      <c r="K81" s="5"/>
      <c r="L81" s="5" t="s">
        <v>19</v>
      </c>
      <c r="M81" s="5"/>
      <c r="N81" s="5"/>
      <c r="O81" s="5"/>
      <c r="P81" s="5"/>
      <c r="Q81" s="12"/>
      <c r="R81" s="5"/>
      <c r="S81" s="1"/>
      <c r="T81" s="1" t="str">
        <f>IF(VLOOKUP($C81,Intermediate!$C$2:$R$208,2,FALSE)=D81, "", IF(D81="x","+", "-"))</f>
        <v/>
      </c>
      <c r="U81" s="1" t="str">
        <f>IF(VLOOKUP($C81,Intermediate!$C$2:$R$208,3,FALSE)=E81, "", IF(E81="x","+", "-"))</f>
        <v/>
      </c>
      <c r="V81" s="1" t="str">
        <f>IF(VLOOKUP($C81,Intermediate!$C$2:$R$208,4,FALSE)=F81, "", IF(F81="x","+", "-"))</f>
        <v/>
      </c>
      <c r="W81" s="1" t="str">
        <f>IF(VLOOKUP($C81,Intermediate!$C$2:$R$208,5,FALSE)=G81, "", IF(G81="x","+", "-"))</f>
        <v/>
      </c>
      <c r="X81" s="1" t="str">
        <f>IF(VLOOKUP($C81,Intermediate!$C$2:$R$208,6,FALSE)=H81, "", IF(H81="x","+", "-"))</f>
        <v/>
      </c>
      <c r="Y81" s="1" t="str">
        <f>IF(VLOOKUP($C81,Intermediate!$C$2:$R$208,7,FALSE)=I81, "", IF(I81="x","+", "-"))</f>
        <v/>
      </c>
      <c r="Z81" s="1" t="str">
        <f>IF(VLOOKUP($C81,Intermediate!$C$2:$R$208,8,FALSE)=J81, "", IF(J81="x","+", "-"))</f>
        <v/>
      </c>
      <c r="AA81" s="1" t="str">
        <f>IF(VLOOKUP($C81,Intermediate!$C$2:$R$208,9,FALSE)=K81, "", IF(K81="x","+", "-"))</f>
        <v/>
      </c>
      <c r="AB81" s="1" t="str">
        <f>IF(VLOOKUP($C81,Intermediate!$C$2:$R$208,10,FALSE)=L81, "", IF(L81="x","+", "-"))</f>
        <v/>
      </c>
      <c r="AC81" s="1" t="str">
        <f>IF(VLOOKUP($C81,Intermediate!$C$2:$R$208,11,FALSE)=M81, "", IF(M81="x","+", "-"))</f>
        <v/>
      </c>
      <c r="AD81" s="1" t="str">
        <f>IF(VLOOKUP($C81,Intermediate!$C$2:$R$208,12,FALSE)=N81, "", IF(N81="x","+", "-"))</f>
        <v/>
      </c>
      <c r="AE81" s="1" t="str">
        <f>IF(VLOOKUP($C81,Intermediate!$C$2:$R$208,13,FALSE)=O81, "", IF(O81="x","+", "-"))</f>
        <v/>
      </c>
      <c r="AF81" s="1" t="str">
        <f>IF(VLOOKUP($C81,Intermediate!$C$2:$R$208,14,FALSE)=P81, "", IF(P81="x","+", "-"))</f>
        <v/>
      </c>
      <c r="AG81" s="1" t="str">
        <f>IF(VLOOKUP($C81,Intermediate!$C$2:$R$208,15,FALSE)=Q81, "", IF(Q81="x","+", "-"))</f>
        <v/>
      </c>
      <c r="AH81" s="1" t="str">
        <f>IF(VLOOKUP($C81,Intermediate!$C$2:$R$208,16,FALSE)=R81, "", IF(R81="x","+", "-"))</f>
        <v/>
      </c>
    </row>
    <row r="82" spans="1:34" ht="15" customHeight="1" x14ac:dyDescent="0.2">
      <c r="A82" s="8" t="s">
        <v>119</v>
      </c>
      <c r="B82" s="8" t="s">
        <v>21</v>
      </c>
      <c r="C82" s="9" t="str">
        <f t="shared" si="1"/>
        <v>TUD Artificial Intelligence for Software Testing and Reverse Engineering</v>
      </c>
      <c r="D82" s="5"/>
      <c r="E82" s="5"/>
      <c r="F82" s="5"/>
      <c r="G82" s="12"/>
      <c r="H82" s="5" t="s">
        <v>19</v>
      </c>
      <c r="I82" s="5"/>
      <c r="J82" s="5"/>
      <c r="K82" s="5"/>
      <c r="L82" s="5"/>
      <c r="M82" s="5"/>
      <c r="N82" s="5"/>
      <c r="O82" s="5" t="s">
        <v>19</v>
      </c>
      <c r="P82" s="5"/>
      <c r="Q82" s="15"/>
      <c r="R82" s="5"/>
      <c r="S82" s="7"/>
      <c r="T82" s="1" t="str">
        <f>IF(VLOOKUP($C82,Intermediate!$C$2:$R$208,2,FALSE)=D82, "", IF(D82="x","+", "-"))</f>
        <v/>
      </c>
      <c r="U82" s="1" t="str">
        <f>IF(VLOOKUP($C82,Intermediate!$C$2:$R$208,3,FALSE)=E82, "", IF(E82="x","+", "-"))</f>
        <v/>
      </c>
      <c r="V82" s="1" t="str">
        <f>IF(VLOOKUP($C82,Intermediate!$C$2:$R$208,4,FALSE)=F82, "", IF(F82="x","+", "-"))</f>
        <v/>
      </c>
      <c r="W82" s="1" t="str">
        <f>IF(VLOOKUP($C82,Intermediate!$C$2:$R$208,5,FALSE)=G82, "", IF(G82="x","+", "-"))</f>
        <v/>
      </c>
      <c r="X82" s="1" t="str">
        <f>IF(VLOOKUP($C82,Intermediate!$C$2:$R$208,6,FALSE)=H82, "", IF(H82="x","+", "-"))</f>
        <v/>
      </c>
      <c r="Y82" s="1" t="str">
        <f>IF(VLOOKUP($C82,Intermediate!$C$2:$R$208,7,FALSE)=I82, "", IF(I82="x","+", "-"))</f>
        <v/>
      </c>
      <c r="Z82" s="1" t="str">
        <f>IF(VLOOKUP($C82,Intermediate!$C$2:$R$208,8,FALSE)=J82, "", IF(J82="x","+", "-"))</f>
        <v/>
      </c>
      <c r="AA82" s="1" t="str">
        <f>IF(VLOOKUP($C82,Intermediate!$C$2:$R$208,9,FALSE)=K82, "", IF(K82="x","+", "-"))</f>
        <v/>
      </c>
      <c r="AB82" s="1" t="str">
        <f>IF(VLOOKUP($C82,Intermediate!$C$2:$R$208,10,FALSE)=L82, "", IF(L82="x","+", "-"))</f>
        <v/>
      </c>
      <c r="AC82" s="1" t="str">
        <f>IF(VLOOKUP($C82,Intermediate!$C$2:$R$208,11,FALSE)=M82, "", IF(M82="x","+", "-"))</f>
        <v/>
      </c>
      <c r="AD82" s="1" t="str">
        <f>IF(VLOOKUP($C82,Intermediate!$C$2:$R$208,12,FALSE)=N82, "", IF(N82="x","+", "-"))</f>
        <v/>
      </c>
      <c r="AE82" s="1" t="str">
        <f>IF(VLOOKUP($C82,Intermediate!$C$2:$R$208,13,FALSE)=O82, "", IF(O82="x","+", "-"))</f>
        <v/>
      </c>
      <c r="AF82" s="1" t="str">
        <f>IF(VLOOKUP($C82,Intermediate!$C$2:$R$208,14,FALSE)=P82, "", IF(P82="x","+", "-"))</f>
        <v/>
      </c>
      <c r="AG82" s="1" t="str">
        <f>IF(VLOOKUP($C82,Intermediate!$C$2:$R$208,15,FALSE)=Q82, "", IF(Q82="x","+", "-"))</f>
        <v/>
      </c>
      <c r="AH82" s="1" t="str">
        <f>IF(VLOOKUP($C82,Intermediate!$C$2:$R$208,16,FALSE)=R82, "", IF(R82="x","+", "-"))</f>
        <v/>
      </c>
    </row>
    <row r="83" spans="1:34" ht="15" customHeight="1" x14ac:dyDescent="0.2">
      <c r="A83" s="8" t="s">
        <v>101</v>
      </c>
      <c r="B83" s="8" t="s">
        <v>21</v>
      </c>
      <c r="C83" s="9" t="str">
        <f t="shared" si="1"/>
        <v>TUD Compiler Construction</v>
      </c>
      <c r="D83" s="5"/>
      <c r="E83" s="5"/>
      <c r="F83" s="5"/>
      <c r="G83" s="15"/>
      <c r="H83" s="5"/>
      <c r="I83" s="5"/>
      <c r="J83" s="5"/>
      <c r="K83" s="5"/>
      <c r="L83" s="5"/>
      <c r="M83" s="5"/>
      <c r="N83" s="5"/>
      <c r="O83" s="5"/>
      <c r="P83" s="5"/>
      <c r="Q83" s="15"/>
      <c r="R83" s="5" t="s">
        <v>19</v>
      </c>
      <c r="S83" s="1"/>
      <c r="T83" s="1" t="str">
        <f>IF(VLOOKUP($C83,Intermediate!$C$2:$R$208,2,FALSE)=D83, "", IF(D83="x","+", "-"))</f>
        <v/>
      </c>
      <c r="U83" s="1" t="str">
        <f>IF(VLOOKUP($C83,Intermediate!$C$2:$R$208,3,FALSE)=E83, "", IF(E83="x","+", "-"))</f>
        <v/>
      </c>
      <c r="V83" s="1" t="str">
        <f>IF(VLOOKUP($C83,Intermediate!$C$2:$R$208,4,FALSE)=F83, "", IF(F83="x","+", "-"))</f>
        <v/>
      </c>
      <c r="W83" s="1" t="str">
        <f>IF(VLOOKUP($C83,Intermediate!$C$2:$R$208,5,FALSE)=G83, "", IF(G83="x","+", "-"))</f>
        <v/>
      </c>
      <c r="X83" s="1" t="str">
        <f>IF(VLOOKUP($C83,Intermediate!$C$2:$R$208,6,FALSE)=H83, "", IF(H83="x","+", "-"))</f>
        <v/>
      </c>
      <c r="Y83" s="1" t="str">
        <f>IF(VLOOKUP($C83,Intermediate!$C$2:$R$208,7,FALSE)=I83, "", IF(I83="x","+", "-"))</f>
        <v/>
      </c>
      <c r="Z83" s="1" t="str">
        <f>IF(VLOOKUP($C83,Intermediate!$C$2:$R$208,8,FALSE)=J83, "", IF(J83="x","+", "-"))</f>
        <v/>
      </c>
      <c r="AA83" s="1" t="str">
        <f>IF(VLOOKUP($C83,Intermediate!$C$2:$R$208,9,FALSE)=K83, "", IF(K83="x","+", "-"))</f>
        <v/>
      </c>
      <c r="AB83" s="1" t="str">
        <f>IF(VLOOKUP($C83,Intermediate!$C$2:$R$208,10,FALSE)=L83, "", IF(L83="x","+", "-"))</f>
        <v/>
      </c>
      <c r="AC83" s="1" t="str">
        <f>IF(VLOOKUP($C83,Intermediate!$C$2:$R$208,11,FALSE)=M83, "", IF(M83="x","+", "-"))</f>
        <v/>
      </c>
      <c r="AD83" s="1" t="str">
        <f>IF(VLOOKUP($C83,Intermediate!$C$2:$R$208,12,FALSE)=N83, "", IF(N83="x","+", "-"))</f>
        <v/>
      </c>
      <c r="AE83" s="1" t="str">
        <f>IF(VLOOKUP($C83,Intermediate!$C$2:$R$208,13,FALSE)=O83, "", IF(O83="x","+", "-"))</f>
        <v/>
      </c>
      <c r="AF83" s="1" t="str">
        <f>IF(VLOOKUP($C83,Intermediate!$C$2:$R$208,14,FALSE)=P83, "", IF(P83="x","+", "-"))</f>
        <v/>
      </c>
      <c r="AG83" s="1" t="str">
        <f>IF(VLOOKUP($C83,Intermediate!$C$2:$R$208,15,FALSE)=Q83, "", IF(Q83="x","+", "-"))</f>
        <v/>
      </c>
      <c r="AH83" s="1" t="str">
        <f>IF(VLOOKUP($C83,Intermediate!$C$2:$R$208,16,FALSE)=R83, "", IF(R83="x","+", "-"))</f>
        <v/>
      </c>
    </row>
    <row r="84" spans="1:34" ht="15" customHeight="1" x14ac:dyDescent="0.2">
      <c r="A84" s="8" t="s">
        <v>127</v>
      </c>
      <c r="B84" s="8" t="s">
        <v>21</v>
      </c>
      <c r="C84" s="9" t="str">
        <f t="shared" si="1"/>
        <v>TUD Language-based Software Security</v>
      </c>
      <c r="D84" s="5"/>
      <c r="E84" s="5"/>
      <c r="F84" s="5"/>
      <c r="G84" s="4" t="s">
        <v>19</v>
      </c>
      <c r="H84" s="5"/>
      <c r="I84" s="5"/>
      <c r="J84" s="5"/>
      <c r="K84" s="5"/>
      <c r="L84" s="5"/>
      <c r="M84" s="5"/>
      <c r="N84" s="5"/>
      <c r="O84" s="5" t="s">
        <v>19</v>
      </c>
      <c r="P84" s="5"/>
      <c r="Q84" s="4"/>
      <c r="R84" s="5" t="s">
        <v>19</v>
      </c>
      <c r="S84" s="1"/>
      <c r="T84" s="1" t="str">
        <f>IF(VLOOKUP($C84,Intermediate!$C$2:$R$208,2,FALSE)=D84, "", IF(D84="x","+", "-"))</f>
        <v/>
      </c>
      <c r="U84" s="1" t="str">
        <f>IF(VLOOKUP($C84,Intermediate!$C$2:$R$208,3,FALSE)=E84, "", IF(E84="x","+", "-"))</f>
        <v/>
      </c>
      <c r="V84" s="1" t="str">
        <f>IF(VLOOKUP($C84,Intermediate!$C$2:$R$208,4,FALSE)=F84, "", IF(F84="x","+", "-"))</f>
        <v/>
      </c>
      <c r="W84" s="1" t="str">
        <f>IF(VLOOKUP($C84,Intermediate!$C$2:$R$208,5,FALSE)=G84, "", IF(G84="x","+", "-"))</f>
        <v/>
      </c>
      <c r="X84" s="1" t="str">
        <f>IF(VLOOKUP($C84,Intermediate!$C$2:$R$208,6,FALSE)=H84, "", IF(H84="x","+", "-"))</f>
        <v/>
      </c>
      <c r="Y84" s="1" t="str">
        <f>IF(VLOOKUP($C84,Intermediate!$C$2:$R$208,7,FALSE)=I84, "", IF(I84="x","+", "-"))</f>
        <v/>
      </c>
      <c r="Z84" s="1" t="str">
        <f>IF(VLOOKUP($C84,Intermediate!$C$2:$R$208,8,FALSE)=J84, "", IF(J84="x","+", "-"))</f>
        <v/>
      </c>
      <c r="AA84" s="1" t="str">
        <f>IF(VLOOKUP($C84,Intermediate!$C$2:$R$208,9,FALSE)=K84, "", IF(K84="x","+", "-"))</f>
        <v/>
      </c>
      <c r="AB84" s="1" t="str">
        <f>IF(VLOOKUP($C84,Intermediate!$C$2:$R$208,10,FALSE)=L84, "", IF(L84="x","+", "-"))</f>
        <v/>
      </c>
      <c r="AC84" s="1" t="str">
        <f>IF(VLOOKUP($C84,Intermediate!$C$2:$R$208,11,FALSE)=M84, "", IF(M84="x","+", "-"))</f>
        <v/>
      </c>
      <c r="AD84" s="1" t="str">
        <f>IF(VLOOKUP($C84,Intermediate!$C$2:$R$208,12,FALSE)=N84, "", IF(N84="x","+", "-"))</f>
        <v/>
      </c>
      <c r="AE84" s="1" t="str">
        <f>IF(VLOOKUP($C84,Intermediate!$C$2:$R$208,13,FALSE)=O84, "", IF(O84="x","+", "-"))</f>
        <v/>
      </c>
      <c r="AF84" s="1" t="str">
        <f>IF(VLOOKUP($C84,Intermediate!$C$2:$R$208,14,FALSE)=P84, "", IF(P84="x","+", "-"))</f>
        <v/>
      </c>
      <c r="AG84" s="1" t="str">
        <f>IF(VLOOKUP($C84,Intermediate!$C$2:$R$208,15,FALSE)=Q84, "", IF(Q84="x","+", "-"))</f>
        <v/>
      </c>
      <c r="AH84" s="1" t="str">
        <f>IF(VLOOKUP($C84,Intermediate!$C$2:$R$208,16,FALSE)=R84, "", IF(R84="x","+", "-"))</f>
        <v/>
      </c>
    </row>
    <row r="85" spans="1:34" ht="15" customHeight="1" x14ac:dyDescent="0.2">
      <c r="A85" s="8" t="s">
        <v>20</v>
      </c>
      <c r="B85" s="8" t="s">
        <v>21</v>
      </c>
      <c r="C85" s="9" t="str">
        <f t="shared" si="1"/>
        <v xml:space="preserve">TUD Release Engineering for Software Engineering </v>
      </c>
      <c r="D85" s="5"/>
      <c r="E85" s="5"/>
      <c r="F85" s="12"/>
      <c r="G85" s="5"/>
      <c r="H85" s="5"/>
      <c r="I85" s="5"/>
      <c r="J85" s="5" t="s">
        <v>19</v>
      </c>
      <c r="K85" s="5" t="s">
        <v>19</v>
      </c>
      <c r="L85" s="5" t="s">
        <v>19</v>
      </c>
      <c r="M85" s="5" t="s">
        <v>19</v>
      </c>
      <c r="N85" s="12"/>
      <c r="O85" s="5"/>
      <c r="P85" s="5"/>
      <c r="Q85" s="5"/>
      <c r="R85" s="5"/>
      <c r="S85" s="7"/>
      <c r="T85" s="1" t="str">
        <f>IF(VLOOKUP($C85,Intermediate!$C$2:$R$208,2,FALSE)=D85, "", IF(D85="x","+", "-"))</f>
        <v/>
      </c>
      <c r="U85" s="1" t="str">
        <f>IF(VLOOKUP($C85,Intermediate!$C$2:$R$208,3,FALSE)=E85, "", IF(E85="x","+", "-"))</f>
        <v/>
      </c>
      <c r="V85" s="1" t="str">
        <f>IF(VLOOKUP($C85,Intermediate!$C$2:$R$208,4,FALSE)=F85, "", IF(F85="x","+", "-"))</f>
        <v/>
      </c>
      <c r="W85" s="1" t="str">
        <f>IF(VLOOKUP($C85,Intermediate!$C$2:$R$208,5,FALSE)=G85, "", IF(G85="x","+", "-"))</f>
        <v/>
      </c>
      <c r="X85" s="1" t="str">
        <f>IF(VLOOKUP($C85,Intermediate!$C$2:$R$208,6,FALSE)=H85, "", IF(H85="x","+", "-"))</f>
        <v/>
      </c>
      <c r="Y85" s="1" t="str">
        <f>IF(VLOOKUP($C85,Intermediate!$C$2:$R$208,7,FALSE)=I85, "", IF(I85="x","+", "-"))</f>
        <v/>
      </c>
      <c r="Z85" s="1" t="str">
        <f>IF(VLOOKUP($C85,Intermediate!$C$2:$R$208,8,FALSE)=J85, "", IF(J85="x","+", "-"))</f>
        <v/>
      </c>
      <c r="AA85" s="1" t="str">
        <f>IF(VLOOKUP($C85,Intermediate!$C$2:$R$208,9,FALSE)=K85, "", IF(K85="x","+", "-"))</f>
        <v/>
      </c>
      <c r="AB85" s="1" t="str">
        <f>IF(VLOOKUP($C85,Intermediate!$C$2:$R$208,10,FALSE)=L85, "", IF(L85="x","+", "-"))</f>
        <v/>
      </c>
      <c r="AC85" s="1" t="str">
        <f>IF(VLOOKUP($C85,Intermediate!$C$2:$R$208,11,FALSE)=M85, "", IF(M85="x","+", "-"))</f>
        <v/>
      </c>
      <c r="AD85" s="1" t="str">
        <f>IF(VLOOKUP($C85,Intermediate!$C$2:$R$208,12,FALSE)=N85, "", IF(N85="x","+", "-"))</f>
        <v/>
      </c>
      <c r="AE85" s="1" t="str">
        <f>IF(VLOOKUP($C85,Intermediate!$C$2:$R$208,13,FALSE)=O85, "", IF(O85="x","+", "-"))</f>
        <v/>
      </c>
      <c r="AF85" s="1" t="str">
        <f>IF(VLOOKUP($C85,Intermediate!$C$2:$R$208,14,FALSE)=P85, "", IF(P85="x","+", "-"))</f>
        <v/>
      </c>
      <c r="AG85" s="1" t="str">
        <f>IF(VLOOKUP($C85,Intermediate!$C$2:$R$208,15,FALSE)=Q85, "", IF(Q85="x","+", "-"))</f>
        <v/>
      </c>
      <c r="AH85" s="1" t="str">
        <f>IF(VLOOKUP($C85,Intermediate!$C$2:$R$208,16,FALSE)=R85, "", IF(R85="x","+", "-"))</f>
        <v/>
      </c>
    </row>
    <row r="86" spans="1:34" ht="15" customHeight="1" x14ac:dyDescent="0.2">
      <c r="A86" s="8" t="s">
        <v>66</v>
      </c>
      <c r="B86" s="8" t="s">
        <v>21</v>
      </c>
      <c r="C86" s="9" t="str">
        <f t="shared" si="1"/>
        <v>TUD Software Architecture</v>
      </c>
      <c r="D86" s="5"/>
      <c r="E86" s="5" t="s">
        <v>19</v>
      </c>
      <c r="F86" s="4"/>
      <c r="G86" s="5"/>
      <c r="H86" s="5"/>
      <c r="I86" s="5"/>
      <c r="J86" s="12"/>
      <c r="K86" s="5"/>
      <c r="L86" s="5"/>
      <c r="M86" s="5"/>
      <c r="N86" s="4" t="s">
        <v>19</v>
      </c>
      <c r="O86" s="5"/>
      <c r="P86" s="5"/>
      <c r="Q86" s="5"/>
      <c r="R86" s="5"/>
      <c r="S86" s="1"/>
      <c r="T86" s="1" t="str">
        <f>IF(VLOOKUP($C86,Intermediate!$C$2:$R$208,2,FALSE)=D86, "", IF(D86="x","+", "-"))</f>
        <v/>
      </c>
      <c r="U86" s="1" t="str">
        <f>IF(VLOOKUP($C86,Intermediate!$C$2:$R$208,3,FALSE)=E86, "", IF(E86="x","+", "-"))</f>
        <v/>
      </c>
      <c r="V86" s="1" t="str">
        <f>IF(VLOOKUP($C86,Intermediate!$C$2:$R$208,4,FALSE)=F86, "", IF(F86="x","+", "-"))</f>
        <v/>
      </c>
      <c r="W86" s="1" t="str">
        <f>IF(VLOOKUP($C86,Intermediate!$C$2:$R$208,5,FALSE)=G86, "", IF(G86="x","+", "-"))</f>
        <v/>
      </c>
      <c r="X86" s="1" t="str">
        <f>IF(VLOOKUP($C86,Intermediate!$C$2:$R$208,6,FALSE)=H86, "", IF(H86="x","+", "-"))</f>
        <v/>
      </c>
      <c r="Y86" s="1" t="str">
        <f>IF(VLOOKUP($C86,Intermediate!$C$2:$R$208,7,FALSE)=I86, "", IF(I86="x","+", "-"))</f>
        <v/>
      </c>
      <c r="Z86" s="1" t="str">
        <f>IF(VLOOKUP($C86,Intermediate!$C$2:$R$208,8,FALSE)=J86, "", IF(J86="x","+", "-"))</f>
        <v/>
      </c>
      <c r="AA86" s="1" t="str">
        <f>IF(VLOOKUP($C86,Intermediate!$C$2:$R$208,9,FALSE)=K86, "", IF(K86="x","+", "-"))</f>
        <v/>
      </c>
      <c r="AB86" s="1" t="str">
        <f>IF(VLOOKUP($C86,Intermediate!$C$2:$R$208,10,FALSE)=L86, "", IF(L86="x","+", "-"))</f>
        <v/>
      </c>
      <c r="AC86" s="1" t="str">
        <f>IF(VLOOKUP($C86,Intermediate!$C$2:$R$208,11,FALSE)=M86, "", IF(M86="x","+", "-"))</f>
        <v/>
      </c>
      <c r="AD86" s="1" t="str">
        <f>IF(VLOOKUP($C86,Intermediate!$C$2:$R$208,12,FALSE)=N86, "", IF(N86="x","+", "-"))</f>
        <v/>
      </c>
      <c r="AE86" s="1" t="str">
        <f>IF(VLOOKUP($C86,Intermediate!$C$2:$R$208,13,FALSE)=O86, "", IF(O86="x","+", "-"))</f>
        <v/>
      </c>
      <c r="AF86" s="1" t="str">
        <f>IF(VLOOKUP($C86,Intermediate!$C$2:$R$208,14,FALSE)=P86, "", IF(P86="x","+", "-"))</f>
        <v/>
      </c>
      <c r="AG86" s="1" t="str">
        <f>IF(VLOOKUP($C86,Intermediate!$C$2:$R$208,15,FALSE)=Q86, "", IF(Q86="x","+", "-"))</f>
        <v/>
      </c>
      <c r="AH86" s="1" t="str">
        <f>IF(VLOOKUP($C86,Intermediate!$C$2:$R$208,16,FALSE)=R86, "", IF(R86="x","+", "-"))</f>
        <v/>
      </c>
    </row>
    <row r="87" spans="1:34" ht="15" customHeight="1" x14ac:dyDescent="0.2">
      <c r="A87" s="8" t="s">
        <v>91</v>
      </c>
      <c r="B87" s="8" t="s">
        <v>21</v>
      </c>
      <c r="C87" s="9" t="str">
        <f t="shared" si="1"/>
        <v>TUD Software Verification</v>
      </c>
      <c r="D87" s="5"/>
      <c r="E87" s="5"/>
      <c r="F87" s="12"/>
      <c r="G87" s="5"/>
      <c r="H87" s="5"/>
      <c r="I87" s="5"/>
      <c r="J87" s="5"/>
      <c r="K87" s="5"/>
      <c r="L87" s="5"/>
      <c r="M87" s="5"/>
      <c r="N87" s="5"/>
      <c r="O87" s="5"/>
      <c r="P87" s="5"/>
      <c r="Q87" s="5" t="s">
        <v>19</v>
      </c>
      <c r="R87" s="4"/>
      <c r="S87" s="1"/>
      <c r="T87" s="1" t="str">
        <f>IF(VLOOKUP($C87,Intermediate!$C$2:$R$208,2,FALSE)=D87, "", IF(D87="x","+", "-"))</f>
        <v/>
      </c>
      <c r="U87" s="1" t="str">
        <f>IF(VLOOKUP($C87,Intermediate!$C$2:$R$208,3,FALSE)=E87, "", IF(E87="x","+", "-"))</f>
        <v/>
      </c>
      <c r="V87" s="1" t="str">
        <f>IF(VLOOKUP($C87,Intermediate!$C$2:$R$208,4,FALSE)=F87, "", IF(F87="x","+", "-"))</f>
        <v/>
      </c>
      <c r="W87" s="1" t="str">
        <f>IF(VLOOKUP($C87,Intermediate!$C$2:$R$208,5,FALSE)=G87, "", IF(G87="x","+", "-"))</f>
        <v/>
      </c>
      <c r="X87" s="1" t="str">
        <f>IF(VLOOKUP($C87,Intermediate!$C$2:$R$208,6,FALSE)=H87, "", IF(H87="x","+", "-"))</f>
        <v/>
      </c>
      <c r="Y87" s="1" t="str">
        <f>IF(VLOOKUP($C87,Intermediate!$C$2:$R$208,7,FALSE)=I87, "", IF(I87="x","+", "-"))</f>
        <v/>
      </c>
      <c r="Z87" s="1" t="str">
        <f>IF(VLOOKUP($C87,Intermediate!$C$2:$R$208,8,FALSE)=J87, "", IF(J87="x","+", "-"))</f>
        <v/>
      </c>
      <c r="AA87" s="1" t="str">
        <f>IF(VLOOKUP($C87,Intermediate!$C$2:$R$208,9,FALSE)=K87, "", IF(K87="x","+", "-"))</f>
        <v/>
      </c>
      <c r="AB87" s="1" t="str">
        <f>IF(VLOOKUP($C87,Intermediate!$C$2:$R$208,10,FALSE)=L87, "", IF(L87="x","+", "-"))</f>
        <v/>
      </c>
      <c r="AC87" s="1" t="str">
        <f>IF(VLOOKUP($C87,Intermediate!$C$2:$R$208,11,FALSE)=M87, "", IF(M87="x","+", "-"))</f>
        <v/>
      </c>
      <c r="AD87" s="1" t="str">
        <f>IF(VLOOKUP($C87,Intermediate!$C$2:$R$208,12,FALSE)=N87, "", IF(N87="x","+", "-"))</f>
        <v/>
      </c>
      <c r="AE87" s="1" t="str">
        <f>IF(VLOOKUP($C87,Intermediate!$C$2:$R$208,13,FALSE)=O87, "", IF(O87="x","+", "-"))</f>
        <v/>
      </c>
      <c r="AF87" s="1" t="str">
        <f>IF(VLOOKUP($C87,Intermediate!$C$2:$R$208,14,FALSE)=P87, "", IF(P87="x","+", "-"))</f>
        <v/>
      </c>
      <c r="AG87" s="1" t="str">
        <f>IF(VLOOKUP($C87,Intermediate!$C$2:$R$208,15,FALSE)=Q87, "", IF(Q87="x","+", "-"))</f>
        <v/>
      </c>
      <c r="AH87" s="1" t="str">
        <f>IF(VLOOKUP($C87,Intermediate!$C$2:$R$208,16,FALSE)=R87, "", IF(R87="x","+", "-"))</f>
        <v/>
      </c>
    </row>
    <row r="88" spans="1:34" ht="15" customHeight="1" x14ac:dyDescent="0.2">
      <c r="A88" s="8" t="s">
        <v>69</v>
      </c>
      <c r="B88" s="8" t="s">
        <v>21</v>
      </c>
      <c r="C88" s="9" t="str">
        <f t="shared" si="1"/>
        <v>TUD Sustainable Software Engineering</v>
      </c>
      <c r="D88" s="5"/>
      <c r="E88" s="5"/>
      <c r="F88" s="5"/>
      <c r="G88" s="5"/>
      <c r="H88" s="5"/>
      <c r="I88" s="5"/>
      <c r="J88" s="4" t="s">
        <v>19</v>
      </c>
      <c r="K88" s="5"/>
      <c r="L88" s="5"/>
      <c r="M88" s="5"/>
      <c r="N88" s="5"/>
      <c r="O88" s="5"/>
      <c r="P88" s="5" t="s">
        <v>19</v>
      </c>
      <c r="Q88" s="5"/>
      <c r="R88" s="12"/>
      <c r="S88" s="1"/>
      <c r="T88" s="1" t="str">
        <f>IF(VLOOKUP($C88,Intermediate!$C$2:$R$208,2,FALSE)=D88, "", IF(D88="x","+", "-"))</f>
        <v/>
      </c>
      <c r="U88" s="1" t="str">
        <f>IF(VLOOKUP($C88,Intermediate!$C$2:$R$208,3,FALSE)=E88, "", IF(E88="x","+", "-"))</f>
        <v/>
      </c>
      <c r="V88" s="1" t="str">
        <f>IF(VLOOKUP($C88,Intermediate!$C$2:$R$208,4,FALSE)=F88, "", IF(F88="x","+", "-"))</f>
        <v/>
      </c>
      <c r="W88" s="1" t="str">
        <f>IF(VLOOKUP($C88,Intermediate!$C$2:$R$208,5,FALSE)=G88, "", IF(G88="x","+", "-"))</f>
        <v/>
      </c>
      <c r="X88" s="1" t="str">
        <f>IF(VLOOKUP($C88,Intermediate!$C$2:$R$208,6,FALSE)=H88, "", IF(H88="x","+", "-"))</f>
        <v/>
      </c>
      <c r="Y88" s="1" t="str">
        <f>IF(VLOOKUP($C88,Intermediate!$C$2:$R$208,7,FALSE)=I88, "", IF(I88="x","+", "-"))</f>
        <v/>
      </c>
      <c r="Z88" s="1" t="str">
        <f>IF(VLOOKUP($C88,Intermediate!$C$2:$R$208,8,FALSE)=J88, "", IF(J88="x","+", "-"))</f>
        <v/>
      </c>
      <c r="AA88" s="1" t="str">
        <f>IF(VLOOKUP($C88,Intermediate!$C$2:$R$208,9,FALSE)=K88, "", IF(K88="x","+", "-"))</f>
        <v/>
      </c>
      <c r="AB88" s="1" t="str">
        <f>IF(VLOOKUP($C88,Intermediate!$C$2:$R$208,10,FALSE)=L88, "", IF(L88="x","+", "-"))</f>
        <v/>
      </c>
      <c r="AC88" s="1" t="str">
        <f>IF(VLOOKUP($C88,Intermediate!$C$2:$R$208,11,FALSE)=M88, "", IF(M88="x","+", "-"))</f>
        <v/>
      </c>
      <c r="AD88" s="1" t="str">
        <f>IF(VLOOKUP($C88,Intermediate!$C$2:$R$208,12,FALSE)=N88, "", IF(N88="x","+", "-"))</f>
        <v/>
      </c>
      <c r="AE88" s="1" t="str">
        <f>IF(VLOOKUP($C88,Intermediate!$C$2:$R$208,13,FALSE)=O88, "", IF(O88="x","+", "-"))</f>
        <v/>
      </c>
      <c r="AF88" s="1" t="str">
        <f>IF(VLOOKUP($C88,Intermediate!$C$2:$R$208,14,FALSE)=P88, "", IF(P88="x","+", "-"))</f>
        <v/>
      </c>
      <c r="AG88" s="1" t="str">
        <f>IF(VLOOKUP($C88,Intermediate!$C$2:$R$208,15,FALSE)=Q88, "", IF(Q88="x","+", "-"))</f>
        <v/>
      </c>
      <c r="AH88" s="1" t="str">
        <f>IF(VLOOKUP($C88,Intermediate!$C$2:$R$208,16,FALSE)=R88, "", IF(R88="x","+", "-"))</f>
        <v/>
      </c>
    </row>
    <row r="89" spans="1:34" ht="15" customHeight="1" x14ac:dyDescent="0.2">
      <c r="A89" s="8" t="s">
        <v>68</v>
      </c>
      <c r="B89" s="8" t="s">
        <v>21</v>
      </c>
      <c r="C89" s="9" t="str">
        <f t="shared" si="1"/>
        <v>TUD Testing and Validation for AI-intensive systems</v>
      </c>
      <c r="D89" s="5"/>
      <c r="E89" s="5"/>
      <c r="F89" s="4"/>
      <c r="G89" s="5"/>
      <c r="H89" s="5" t="s">
        <v>19</v>
      </c>
      <c r="I89" s="5"/>
      <c r="J89" s="5" t="s">
        <v>19</v>
      </c>
      <c r="K89" s="5"/>
      <c r="L89" s="5"/>
      <c r="M89" s="5"/>
      <c r="N89" s="5"/>
      <c r="O89" s="5" t="s">
        <v>19</v>
      </c>
      <c r="P89" s="5"/>
      <c r="Q89" s="5"/>
      <c r="R89" s="5"/>
      <c r="S89" s="1"/>
      <c r="T89" s="1" t="str">
        <f>IF(VLOOKUP($C89,Intermediate!$C$2:$R$208,2,FALSE)=D89, "", IF(D89="x","+", "-"))</f>
        <v/>
      </c>
      <c r="U89" s="1" t="str">
        <f>IF(VLOOKUP($C89,Intermediate!$C$2:$R$208,3,FALSE)=E89, "", IF(E89="x","+", "-"))</f>
        <v/>
      </c>
      <c r="V89" s="1" t="str">
        <f>IF(VLOOKUP($C89,Intermediate!$C$2:$R$208,4,FALSE)=F89, "", IF(F89="x","+", "-"))</f>
        <v/>
      </c>
      <c r="W89" s="1" t="str">
        <f>IF(VLOOKUP($C89,Intermediate!$C$2:$R$208,5,FALSE)=G89, "", IF(G89="x","+", "-"))</f>
        <v/>
      </c>
      <c r="X89" s="1" t="str">
        <f>IF(VLOOKUP($C89,Intermediate!$C$2:$R$208,6,FALSE)=H89, "", IF(H89="x","+", "-"))</f>
        <v/>
      </c>
      <c r="Y89" s="1" t="str">
        <f>IF(VLOOKUP($C89,Intermediate!$C$2:$R$208,7,FALSE)=I89, "", IF(I89="x","+", "-"))</f>
        <v/>
      </c>
      <c r="Z89" s="1" t="str">
        <f>IF(VLOOKUP($C89,Intermediate!$C$2:$R$208,8,FALSE)=J89, "", IF(J89="x","+", "-"))</f>
        <v/>
      </c>
      <c r="AA89" s="1" t="str">
        <f>IF(VLOOKUP($C89,Intermediate!$C$2:$R$208,9,FALSE)=K89, "", IF(K89="x","+", "-"))</f>
        <v/>
      </c>
      <c r="AB89" s="1" t="str">
        <f>IF(VLOOKUP($C89,Intermediate!$C$2:$R$208,10,FALSE)=L89, "", IF(L89="x","+", "-"))</f>
        <v/>
      </c>
      <c r="AC89" s="1" t="str">
        <f>IF(VLOOKUP($C89,Intermediate!$C$2:$R$208,11,FALSE)=M89, "", IF(M89="x","+", "-"))</f>
        <v/>
      </c>
      <c r="AD89" s="1" t="str">
        <f>IF(VLOOKUP($C89,Intermediate!$C$2:$R$208,12,FALSE)=N89, "", IF(N89="x","+", "-"))</f>
        <v/>
      </c>
      <c r="AE89" s="1" t="str">
        <f>IF(VLOOKUP($C89,Intermediate!$C$2:$R$208,13,FALSE)=O89, "", IF(O89="x","+", "-"))</f>
        <v/>
      </c>
      <c r="AF89" s="1" t="str">
        <f>IF(VLOOKUP($C89,Intermediate!$C$2:$R$208,14,FALSE)=P89, "", IF(P89="x","+", "-"))</f>
        <v/>
      </c>
      <c r="AG89" s="1" t="str">
        <f>IF(VLOOKUP($C89,Intermediate!$C$2:$R$208,15,FALSE)=Q89, "", IF(Q89="x","+", "-"))</f>
        <v/>
      </c>
      <c r="AH89" s="1" t="str">
        <f>IF(VLOOKUP($C89,Intermediate!$C$2:$R$208,16,FALSE)=R89, "", IF(R89="x","+", "-"))</f>
        <v/>
      </c>
    </row>
    <row r="90" spans="1:34" ht="15" customHeight="1" x14ac:dyDescent="0.2">
      <c r="A90" s="8" t="s">
        <v>129</v>
      </c>
      <c r="B90" s="8" t="s">
        <v>25</v>
      </c>
      <c r="C90" s="9" t="str">
        <f t="shared" si="1"/>
        <v>UL Basic Programming in Python</v>
      </c>
      <c r="D90" s="5"/>
      <c r="E90" s="5"/>
      <c r="F90" s="5"/>
      <c r="G90" s="12" t="s">
        <v>19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1"/>
      <c r="T90" s="1" t="str">
        <f>IF(VLOOKUP($C90,Intermediate!$C$2:$R$208,2,FALSE)=D90, "", IF(D90="x","+", "-"))</f>
        <v/>
      </c>
      <c r="U90" s="1" t="str">
        <f>IF(VLOOKUP($C90,Intermediate!$C$2:$R$208,3,FALSE)=E90, "", IF(E90="x","+", "-"))</f>
        <v/>
      </c>
      <c r="V90" s="1" t="str">
        <f>IF(VLOOKUP($C90,Intermediate!$C$2:$R$208,4,FALSE)=F90, "", IF(F90="x","+", "-"))</f>
        <v/>
      </c>
      <c r="W90" s="1" t="str">
        <f>IF(VLOOKUP($C90,Intermediate!$C$2:$R$208,5,FALSE)=G90, "", IF(G90="x","+", "-"))</f>
        <v/>
      </c>
      <c r="X90" s="1" t="str">
        <f>IF(VLOOKUP($C90,Intermediate!$C$2:$R$208,6,FALSE)=H90, "", IF(H90="x","+", "-"))</f>
        <v/>
      </c>
      <c r="Y90" s="1" t="str">
        <f>IF(VLOOKUP($C90,Intermediate!$C$2:$R$208,7,FALSE)=I90, "", IF(I90="x","+", "-"))</f>
        <v/>
      </c>
      <c r="Z90" s="1" t="str">
        <f>IF(VLOOKUP($C90,Intermediate!$C$2:$R$208,8,FALSE)=J90, "", IF(J90="x","+", "-"))</f>
        <v/>
      </c>
      <c r="AA90" s="1" t="str">
        <f>IF(VLOOKUP($C90,Intermediate!$C$2:$R$208,9,FALSE)=K90, "", IF(K90="x","+", "-"))</f>
        <v/>
      </c>
      <c r="AB90" s="1" t="str">
        <f>IF(VLOOKUP($C90,Intermediate!$C$2:$R$208,10,FALSE)=L90, "", IF(L90="x","+", "-"))</f>
        <v/>
      </c>
      <c r="AC90" s="1" t="str">
        <f>IF(VLOOKUP($C90,Intermediate!$C$2:$R$208,11,FALSE)=M90, "", IF(M90="x","+", "-"))</f>
        <v/>
      </c>
      <c r="AD90" s="1" t="str">
        <f>IF(VLOOKUP($C90,Intermediate!$C$2:$R$208,12,FALSE)=N90, "", IF(N90="x","+", "-"))</f>
        <v/>
      </c>
      <c r="AE90" s="1" t="str">
        <f>IF(VLOOKUP($C90,Intermediate!$C$2:$R$208,13,FALSE)=O90, "", IF(O90="x","+", "-"))</f>
        <v/>
      </c>
      <c r="AF90" s="1" t="str">
        <f>IF(VLOOKUP($C90,Intermediate!$C$2:$R$208,14,FALSE)=P90, "", IF(P90="x","+", "-"))</f>
        <v/>
      </c>
      <c r="AG90" s="1" t="str">
        <f>IF(VLOOKUP($C90,Intermediate!$C$2:$R$208,15,FALSE)=Q90, "", IF(Q90="x","+", "-"))</f>
        <v/>
      </c>
      <c r="AH90" s="1" t="str">
        <f>IF(VLOOKUP($C90,Intermediate!$C$2:$R$208,16,FALSE)=R90, "", IF(R90="x","+", "-"))</f>
        <v/>
      </c>
    </row>
    <row r="91" spans="1:34" ht="15" customHeight="1" x14ac:dyDescent="0.2">
      <c r="A91" s="8" t="s">
        <v>121</v>
      </c>
      <c r="B91" s="8" t="s">
        <v>25</v>
      </c>
      <c r="C91" s="9" t="str">
        <f t="shared" si="1"/>
        <v>UL Concepts of Programming Languages</v>
      </c>
      <c r="D91" s="5"/>
      <c r="E91" s="5"/>
      <c r="F91" s="5"/>
      <c r="G91" s="4"/>
      <c r="H91" s="5"/>
      <c r="I91" s="5"/>
      <c r="J91" s="5"/>
      <c r="K91" s="5"/>
      <c r="L91" s="5"/>
      <c r="M91" s="5"/>
      <c r="N91" s="5"/>
      <c r="O91" s="5"/>
      <c r="P91" s="5"/>
      <c r="Q91" s="5" t="s">
        <v>19</v>
      </c>
      <c r="R91" s="5" t="s">
        <v>19</v>
      </c>
      <c r="S91" s="1"/>
      <c r="T91" s="1" t="str">
        <f>IF(VLOOKUP($C91,Intermediate!$C$2:$R$208,2,FALSE)=D91, "", IF(D91="x","+", "-"))</f>
        <v/>
      </c>
      <c r="U91" s="1" t="str">
        <f>IF(VLOOKUP($C91,Intermediate!$C$2:$R$208,3,FALSE)=E91, "", IF(E91="x","+", "-"))</f>
        <v/>
      </c>
      <c r="V91" s="1" t="str">
        <f>IF(VLOOKUP($C91,Intermediate!$C$2:$R$208,4,FALSE)=F91, "", IF(F91="x","+", "-"))</f>
        <v/>
      </c>
      <c r="W91" s="1" t="str">
        <f>IF(VLOOKUP($C91,Intermediate!$C$2:$R$208,5,FALSE)=G91, "", IF(G91="x","+", "-"))</f>
        <v/>
      </c>
      <c r="X91" s="1" t="str">
        <f>IF(VLOOKUP($C91,Intermediate!$C$2:$R$208,6,FALSE)=H91, "", IF(H91="x","+", "-"))</f>
        <v/>
      </c>
      <c r="Y91" s="1" t="str">
        <f>IF(VLOOKUP($C91,Intermediate!$C$2:$R$208,7,FALSE)=I91, "", IF(I91="x","+", "-"))</f>
        <v/>
      </c>
      <c r="Z91" s="1" t="str">
        <f>IF(VLOOKUP($C91,Intermediate!$C$2:$R$208,8,FALSE)=J91, "", IF(J91="x","+", "-"))</f>
        <v/>
      </c>
      <c r="AA91" s="1" t="str">
        <f>IF(VLOOKUP($C91,Intermediate!$C$2:$R$208,9,FALSE)=K91, "", IF(K91="x","+", "-"))</f>
        <v/>
      </c>
      <c r="AB91" s="1" t="str">
        <f>IF(VLOOKUP($C91,Intermediate!$C$2:$R$208,10,FALSE)=L91, "", IF(L91="x","+", "-"))</f>
        <v/>
      </c>
      <c r="AC91" s="1" t="str">
        <f>IF(VLOOKUP($C91,Intermediate!$C$2:$R$208,11,FALSE)=M91, "", IF(M91="x","+", "-"))</f>
        <v/>
      </c>
      <c r="AD91" s="1" t="str">
        <f>IF(VLOOKUP($C91,Intermediate!$C$2:$R$208,12,FALSE)=N91, "", IF(N91="x","+", "-"))</f>
        <v/>
      </c>
      <c r="AE91" s="1" t="str">
        <f>IF(VLOOKUP($C91,Intermediate!$C$2:$R$208,13,FALSE)=O91, "", IF(O91="x","+", "-"))</f>
        <v/>
      </c>
      <c r="AF91" s="1" t="str">
        <f>IF(VLOOKUP($C91,Intermediate!$C$2:$R$208,14,FALSE)=P91, "", IF(P91="x","+", "-"))</f>
        <v/>
      </c>
      <c r="AG91" s="1" t="str">
        <f>IF(VLOOKUP($C91,Intermediate!$C$2:$R$208,15,FALSE)=Q91, "", IF(Q91="x","+", "-"))</f>
        <v/>
      </c>
      <c r="AH91" s="1" t="str">
        <f>IF(VLOOKUP($C91,Intermediate!$C$2:$R$208,16,FALSE)=R91, "", IF(R91="x","+", "-"))</f>
        <v/>
      </c>
    </row>
    <row r="92" spans="1:34" ht="15" customHeight="1" x14ac:dyDescent="0.2">
      <c r="A92" s="8" t="s">
        <v>130</v>
      </c>
      <c r="B92" s="8" t="s">
        <v>25</v>
      </c>
      <c r="C92" s="9" t="str">
        <f t="shared" si="1"/>
        <v>UL Introduction to Programming (BSc)</v>
      </c>
      <c r="D92" s="5"/>
      <c r="E92" s="5"/>
      <c r="F92" s="5"/>
      <c r="G92" s="5" t="s">
        <v>19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1"/>
      <c r="T92" s="1" t="str">
        <f>IF(VLOOKUP($C92,Intermediate!$C$2:$R$208,2,FALSE)=D92, "", IF(D92="x","+", "-"))</f>
        <v/>
      </c>
      <c r="U92" s="1" t="str">
        <f>IF(VLOOKUP($C92,Intermediate!$C$2:$R$208,3,FALSE)=E92, "", IF(E92="x","+", "-"))</f>
        <v/>
      </c>
      <c r="V92" s="1" t="str">
        <f>IF(VLOOKUP($C92,Intermediate!$C$2:$R$208,4,FALSE)=F92, "", IF(F92="x","+", "-"))</f>
        <v/>
      </c>
      <c r="W92" s="1" t="str">
        <f>IF(VLOOKUP($C92,Intermediate!$C$2:$R$208,5,FALSE)=G92, "", IF(G92="x","+", "-"))</f>
        <v/>
      </c>
      <c r="X92" s="1" t="str">
        <f>IF(VLOOKUP($C92,Intermediate!$C$2:$R$208,6,FALSE)=H92, "", IF(H92="x","+", "-"))</f>
        <v/>
      </c>
      <c r="Y92" s="1" t="str">
        <f>IF(VLOOKUP($C92,Intermediate!$C$2:$R$208,7,FALSE)=I92, "", IF(I92="x","+", "-"))</f>
        <v/>
      </c>
      <c r="Z92" s="1" t="str">
        <f>IF(VLOOKUP($C92,Intermediate!$C$2:$R$208,8,FALSE)=J92, "", IF(J92="x","+", "-"))</f>
        <v/>
      </c>
      <c r="AA92" s="1" t="str">
        <f>IF(VLOOKUP($C92,Intermediate!$C$2:$R$208,9,FALSE)=K92, "", IF(K92="x","+", "-"))</f>
        <v/>
      </c>
      <c r="AB92" s="1" t="str">
        <f>IF(VLOOKUP($C92,Intermediate!$C$2:$R$208,10,FALSE)=L92, "", IF(L92="x","+", "-"))</f>
        <v/>
      </c>
      <c r="AC92" s="1" t="str">
        <f>IF(VLOOKUP($C92,Intermediate!$C$2:$R$208,11,FALSE)=M92, "", IF(M92="x","+", "-"))</f>
        <v/>
      </c>
      <c r="AD92" s="1" t="str">
        <f>IF(VLOOKUP($C92,Intermediate!$C$2:$R$208,12,FALSE)=N92, "", IF(N92="x","+", "-"))</f>
        <v/>
      </c>
      <c r="AE92" s="1" t="str">
        <f>IF(VLOOKUP($C92,Intermediate!$C$2:$R$208,13,FALSE)=O92, "", IF(O92="x","+", "-"))</f>
        <v/>
      </c>
      <c r="AF92" s="1" t="str">
        <f>IF(VLOOKUP($C92,Intermediate!$C$2:$R$208,14,FALSE)=P92, "", IF(P92="x","+", "-"))</f>
        <v/>
      </c>
      <c r="AG92" s="1" t="str">
        <f>IF(VLOOKUP($C92,Intermediate!$C$2:$R$208,15,FALSE)=Q92, "", IF(Q92="x","+", "-"))</f>
        <v/>
      </c>
      <c r="AH92" s="1" t="str">
        <f>IF(VLOOKUP($C92,Intermediate!$C$2:$R$208,16,FALSE)=R92, "", IF(R92="x","+", "-"))</f>
        <v/>
      </c>
    </row>
    <row r="93" spans="1:34" ht="15" customHeight="1" x14ac:dyDescent="0.2">
      <c r="A93" s="8" t="s">
        <v>106</v>
      </c>
      <c r="B93" s="8" t="s">
        <v>25</v>
      </c>
      <c r="C93" s="9" t="str">
        <f t="shared" si="1"/>
        <v>UL Program Correctness</v>
      </c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 t="s">
        <v>19</v>
      </c>
      <c r="R93" s="5"/>
      <c r="S93" s="7"/>
      <c r="T93" s="1" t="str">
        <f>IF(VLOOKUP($C93,Intermediate!$C$2:$R$208,2,FALSE)=D93, "", IF(D93="x","+", "-"))</f>
        <v/>
      </c>
      <c r="U93" s="1" t="str">
        <f>IF(VLOOKUP($C93,Intermediate!$C$2:$R$208,3,FALSE)=E93, "", IF(E93="x","+", "-"))</f>
        <v/>
      </c>
      <c r="V93" s="1" t="str">
        <f>IF(VLOOKUP($C93,Intermediate!$C$2:$R$208,4,FALSE)=F93, "", IF(F93="x","+", "-"))</f>
        <v/>
      </c>
      <c r="W93" s="1" t="str">
        <f>IF(VLOOKUP($C93,Intermediate!$C$2:$R$208,5,FALSE)=G93, "", IF(G93="x","+", "-"))</f>
        <v/>
      </c>
      <c r="X93" s="1" t="str">
        <f>IF(VLOOKUP($C93,Intermediate!$C$2:$R$208,6,FALSE)=H93, "", IF(H93="x","+", "-"))</f>
        <v/>
      </c>
      <c r="Y93" s="1" t="str">
        <f>IF(VLOOKUP($C93,Intermediate!$C$2:$R$208,7,FALSE)=I93, "", IF(I93="x","+", "-"))</f>
        <v/>
      </c>
      <c r="Z93" s="1" t="str">
        <f>IF(VLOOKUP($C93,Intermediate!$C$2:$R$208,8,FALSE)=J93, "", IF(J93="x","+", "-"))</f>
        <v/>
      </c>
      <c r="AA93" s="1" t="str">
        <f>IF(VLOOKUP($C93,Intermediate!$C$2:$R$208,9,FALSE)=K93, "", IF(K93="x","+", "-"))</f>
        <v/>
      </c>
      <c r="AB93" s="1" t="str">
        <f>IF(VLOOKUP($C93,Intermediate!$C$2:$R$208,10,FALSE)=L93, "", IF(L93="x","+", "-"))</f>
        <v/>
      </c>
      <c r="AC93" s="1" t="str">
        <f>IF(VLOOKUP($C93,Intermediate!$C$2:$R$208,11,FALSE)=M93, "", IF(M93="x","+", "-"))</f>
        <v/>
      </c>
      <c r="AD93" s="1" t="str">
        <f>IF(VLOOKUP($C93,Intermediate!$C$2:$R$208,12,FALSE)=N93, "", IF(N93="x","+", "-"))</f>
        <v/>
      </c>
      <c r="AE93" s="1" t="str">
        <f>IF(VLOOKUP($C93,Intermediate!$C$2:$R$208,13,FALSE)=O93, "", IF(O93="x","+", "-"))</f>
        <v/>
      </c>
      <c r="AF93" s="1" t="str">
        <f>IF(VLOOKUP($C93,Intermediate!$C$2:$R$208,14,FALSE)=P93, "", IF(P93="x","+", "-"))</f>
        <v/>
      </c>
      <c r="AG93" s="1" t="str">
        <f>IF(VLOOKUP($C93,Intermediate!$C$2:$R$208,15,FALSE)=Q93, "", IF(Q93="x","+", "-"))</f>
        <v/>
      </c>
      <c r="AH93" s="1" t="str">
        <f>IF(VLOOKUP($C93,Intermediate!$C$2:$R$208,16,FALSE)=R93, "", IF(R93="x","+", "-"))</f>
        <v/>
      </c>
    </row>
    <row r="94" spans="1:34" ht="15" customHeight="1" x14ac:dyDescent="0.2">
      <c r="A94" s="1" t="s">
        <v>131</v>
      </c>
      <c r="B94" s="1" t="s">
        <v>25</v>
      </c>
      <c r="C94" s="9" t="str">
        <f t="shared" si="1"/>
        <v>UL Programmeermethoden</v>
      </c>
      <c r="D94" s="5"/>
      <c r="E94" s="5"/>
      <c r="F94" s="5"/>
      <c r="G94" s="5" t="s">
        <v>19</v>
      </c>
      <c r="H94" s="5"/>
      <c r="I94" s="5"/>
      <c r="J94" s="5"/>
      <c r="K94" s="12"/>
      <c r="L94" s="5"/>
      <c r="M94" s="5"/>
      <c r="N94" s="5"/>
      <c r="O94" s="5"/>
      <c r="P94" s="5"/>
      <c r="Q94" s="5"/>
      <c r="R94" s="5"/>
      <c r="S94" s="7"/>
      <c r="T94" s="1" t="str">
        <f>IF(VLOOKUP($C94,Intermediate!$C$2:$R$208,2,FALSE)=D94, "", IF(D94="x","+", "-"))</f>
        <v/>
      </c>
      <c r="U94" s="1" t="str">
        <f>IF(VLOOKUP($C94,Intermediate!$C$2:$R$208,3,FALSE)=E94, "", IF(E94="x","+", "-"))</f>
        <v/>
      </c>
      <c r="V94" s="1" t="str">
        <f>IF(VLOOKUP($C94,Intermediate!$C$2:$R$208,4,FALSE)=F94, "", IF(F94="x","+", "-"))</f>
        <v/>
      </c>
      <c r="W94" s="1" t="str">
        <f>IF(VLOOKUP($C94,Intermediate!$C$2:$R$208,5,FALSE)=G94, "", IF(G94="x","+", "-"))</f>
        <v/>
      </c>
      <c r="X94" s="1" t="str">
        <f>IF(VLOOKUP($C94,Intermediate!$C$2:$R$208,6,FALSE)=H94, "", IF(H94="x","+", "-"))</f>
        <v/>
      </c>
      <c r="Y94" s="1" t="str">
        <f>IF(VLOOKUP($C94,Intermediate!$C$2:$R$208,7,FALSE)=I94, "", IF(I94="x","+", "-"))</f>
        <v/>
      </c>
      <c r="Z94" s="1" t="str">
        <f>IF(VLOOKUP($C94,Intermediate!$C$2:$R$208,8,FALSE)=J94, "", IF(J94="x","+", "-"))</f>
        <v/>
      </c>
      <c r="AA94" s="1" t="str">
        <f>IF(VLOOKUP($C94,Intermediate!$C$2:$R$208,9,FALSE)=K94, "", IF(K94="x","+", "-"))</f>
        <v/>
      </c>
      <c r="AB94" s="1" t="str">
        <f>IF(VLOOKUP($C94,Intermediate!$C$2:$R$208,10,FALSE)=L94, "", IF(L94="x","+", "-"))</f>
        <v/>
      </c>
      <c r="AC94" s="1" t="str">
        <f>IF(VLOOKUP($C94,Intermediate!$C$2:$R$208,11,FALSE)=M94, "", IF(M94="x","+", "-"))</f>
        <v/>
      </c>
      <c r="AD94" s="1" t="str">
        <f>IF(VLOOKUP($C94,Intermediate!$C$2:$R$208,12,FALSE)=N94, "", IF(N94="x","+", "-"))</f>
        <v/>
      </c>
      <c r="AE94" s="1" t="str">
        <f>IF(VLOOKUP($C94,Intermediate!$C$2:$R$208,13,FALSE)=O94, "", IF(O94="x","+", "-"))</f>
        <v/>
      </c>
      <c r="AF94" s="1" t="str">
        <f>IF(VLOOKUP($C94,Intermediate!$C$2:$R$208,14,FALSE)=P94, "", IF(P94="x","+", "-"))</f>
        <v/>
      </c>
      <c r="AG94" s="1" t="str">
        <f>IF(VLOOKUP($C94,Intermediate!$C$2:$R$208,15,FALSE)=Q94, "", IF(Q94="x","+", "-"))</f>
        <v/>
      </c>
      <c r="AH94" s="1" t="str">
        <f>IF(VLOOKUP($C94,Intermediate!$C$2:$R$208,16,FALSE)=R94, "", IF(R94="x","+", "-"))</f>
        <v/>
      </c>
    </row>
    <row r="95" spans="1:34" ht="15" customHeight="1" x14ac:dyDescent="0.2">
      <c r="A95" s="1" t="s">
        <v>132</v>
      </c>
      <c r="B95" s="1" t="s">
        <v>25</v>
      </c>
      <c r="C95" s="9" t="str">
        <f t="shared" si="1"/>
        <v>UL Programming Techniques</v>
      </c>
      <c r="D95" s="5"/>
      <c r="E95" s="5"/>
      <c r="F95" s="5"/>
      <c r="G95" s="5" t="s">
        <v>19</v>
      </c>
      <c r="H95" s="5"/>
      <c r="I95" s="12"/>
      <c r="J95" s="5"/>
      <c r="K95" s="4"/>
      <c r="L95" s="5"/>
      <c r="M95" s="5"/>
      <c r="N95" s="12"/>
      <c r="O95" s="5"/>
      <c r="P95" s="5"/>
      <c r="Q95" s="5"/>
      <c r="R95" s="5"/>
      <c r="S95" s="7"/>
      <c r="T95" s="1" t="str">
        <f>IF(VLOOKUP($C95,Intermediate!$C$2:$R$208,2,FALSE)=D95, "", IF(D95="x","+", "-"))</f>
        <v/>
      </c>
      <c r="U95" s="1" t="str">
        <f>IF(VLOOKUP($C95,Intermediate!$C$2:$R$208,3,FALSE)=E95, "", IF(E95="x","+", "-"))</f>
        <v/>
      </c>
      <c r="V95" s="1" t="str">
        <f>IF(VLOOKUP($C95,Intermediate!$C$2:$R$208,4,FALSE)=F95, "", IF(F95="x","+", "-"))</f>
        <v/>
      </c>
      <c r="W95" s="1" t="str">
        <f>IF(VLOOKUP($C95,Intermediate!$C$2:$R$208,5,FALSE)=G95, "", IF(G95="x","+", "-"))</f>
        <v/>
      </c>
      <c r="X95" s="1" t="str">
        <f>IF(VLOOKUP($C95,Intermediate!$C$2:$R$208,6,FALSE)=H95, "", IF(H95="x","+", "-"))</f>
        <v/>
      </c>
      <c r="Y95" s="1" t="str">
        <f>IF(VLOOKUP($C95,Intermediate!$C$2:$R$208,7,FALSE)=I95, "", IF(I95="x","+", "-"))</f>
        <v/>
      </c>
      <c r="Z95" s="1" t="str">
        <f>IF(VLOOKUP($C95,Intermediate!$C$2:$R$208,8,FALSE)=J95, "", IF(J95="x","+", "-"))</f>
        <v/>
      </c>
      <c r="AA95" s="1" t="str">
        <f>IF(VLOOKUP($C95,Intermediate!$C$2:$R$208,9,FALSE)=K95, "", IF(K95="x","+", "-"))</f>
        <v/>
      </c>
      <c r="AB95" s="1" t="str">
        <f>IF(VLOOKUP($C95,Intermediate!$C$2:$R$208,10,FALSE)=L95, "", IF(L95="x","+", "-"))</f>
        <v/>
      </c>
      <c r="AC95" s="1" t="str">
        <f>IF(VLOOKUP($C95,Intermediate!$C$2:$R$208,11,FALSE)=M95, "", IF(M95="x","+", "-"))</f>
        <v/>
      </c>
      <c r="AD95" s="1" t="str">
        <f>IF(VLOOKUP($C95,Intermediate!$C$2:$R$208,12,FALSE)=N95, "", IF(N95="x","+", "-"))</f>
        <v/>
      </c>
      <c r="AE95" s="1" t="str">
        <f>IF(VLOOKUP($C95,Intermediate!$C$2:$R$208,13,FALSE)=O95, "", IF(O95="x","+", "-"))</f>
        <v/>
      </c>
      <c r="AF95" s="1" t="str">
        <f>IF(VLOOKUP($C95,Intermediate!$C$2:$R$208,14,FALSE)=P95, "", IF(P95="x","+", "-"))</f>
        <v/>
      </c>
      <c r="AG95" s="1" t="str">
        <f>IF(VLOOKUP($C95,Intermediate!$C$2:$R$208,15,FALSE)=Q95, "", IF(Q95="x","+", "-"))</f>
        <v/>
      </c>
      <c r="AH95" s="1" t="str">
        <f>IF(VLOOKUP($C95,Intermediate!$C$2:$R$208,16,FALSE)=R95, "", IF(R95="x","+", "-"))</f>
        <v/>
      </c>
    </row>
    <row r="96" spans="1:34" ht="15" customHeight="1" x14ac:dyDescent="0.2">
      <c r="A96" s="8" t="s">
        <v>32</v>
      </c>
      <c r="B96" s="8" t="s">
        <v>25</v>
      </c>
      <c r="C96" s="9" t="str">
        <f t="shared" si="1"/>
        <v>UL Projectmanagement</v>
      </c>
      <c r="D96" s="5"/>
      <c r="E96" s="5"/>
      <c r="F96" s="5"/>
      <c r="G96" s="5"/>
      <c r="H96" s="5"/>
      <c r="I96" s="4" t="s">
        <v>19</v>
      </c>
      <c r="J96" s="5"/>
      <c r="K96" s="5"/>
      <c r="L96" s="5" t="s">
        <v>19</v>
      </c>
      <c r="M96" s="5" t="s">
        <v>19</v>
      </c>
      <c r="N96" s="4"/>
      <c r="O96" s="5"/>
      <c r="P96" s="5"/>
      <c r="Q96" s="5"/>
      <c r="R96" s="5"/>
      <c r="S96" s="7"/>
      <c r="T96" s="1" t="str">
        <f>IF(VLOOKUP($C96,Intermediate!$C$2:$R$208,2,FALSE)=D96, "", IF(D96="x","+", "-"))</f>
        <v/>
      </c>
      <c r="U96" s="1" t="str">
        <f>IF(VLOOKUP($C96,Intermediate!$C$2:$R$208,3,FALSE)=E96, "", IF(E96="x","+", "-"))</f>
        <v/>
      </c>
      <c r="V96" s="1" t="str">
        <f>IF(VLOOKUP($C96,Intermediate!$C$2:$R$208,4,FALSE)=F96, "", IF(F96="x","+", "-"))</f>
        <v/>
      </c>
      <c r="W96" s="1" t="str">
        <f>IF(VLOOKUP($C96,Intermediate!$C$2:$R$208,5,FALSE)=G96, "", IF(G96="x","+", "-"))</f>
        <v/>
      </c>
      <c r="X96" s="1" t="str">
        <f>IF(VLOOKUP($C96,Intermediate!$C$2:$R$208,6,FALSE)=H96, "", IF(H96="x","+", "-"))</f>
        <v/>
      </c>
      <c r="Y96" s="1" t="str">
        <f>IF(VLOOKUP($C96,Intermediate!$C$2:$R$208,7,FALSE)=I96, "", IF(I96="x","+", "-"))</f>
        <v/>
      </c>
      <c r="Z96" s="1" t="str">
        <f>IF(VLOOKUP($C96,Intermediate!$C$2:$R$208,8,FALSE)=J96, "", IF(J96="x","+", "-"))</f>
        <v/>
      </c>
      <c r="AA96" s="1" t="str">
        <f>IF(VLOOKUP($C96,Intermediate!$C$2:$R$208,9,FALSE)=K96, "", IF(K96="x","+", "-"))</f>
        <v/>
      </c>
      <c r="AB96" s="1" t="str">
        <f>IF(VLOOKUP($C96,Intermediate!$C$2:$R$208,10,FALSE)=L96, "", IF(L96="x","+", "-"))</f>
        <v/>
      </c>
      <c r="AC96" s="1" t="str">
        <f>IF(VLOOKUP($C96,Intermediate!$C$2:$R$208,11,FALSE)=M96, "", IF(M96="x","+", "-"))</f>
        <v/>
      </c>
      <c r="AD96" s="1" t="str">
        <f>IF(VLOOKUP($C96,Intermediate!$C$2:$R$208,12,FALSE)=N96, "", IF(N96="x","+", "-"))</f>
        <v/>
      </c>
      <c r="AE96" s="1" t="str">
        <f>IF(VLOOKUP($C96,Intermediate!$C$2:$R$208,13,FALSE)=O96, "", IF(O96="x","+", "-"))</f>
        <v/>
      </c>
      <c r="AF96" s="1" t="str">
        <f>IF(VLOOKUP($C96,Intermediate!$C$2:$R$208,14,FALSE)=P96, "", IF(P96="x","+", "-"))</f>
        <v/>
      </c>
      <c r="AG96" s="1" t="str">
        <f>IF(VLOOKUP($C96,Intermediate!$C$2:$R$208,15,FALSE)=Q96, "", IF(Q96="x","+", "-"))</f>
        <v/>
      </c>
      <c r="AH96" s="1" t="str">
        <f>IF(VLOOKUP($C96,Intermediate!$C$2:$R$208,16,FALSE)=R96, "", IF(R96="x","+", "-"))</f>
        <v/>
      </c>
    </row>
    <row r="97" spans="1:34" ht="15" customHeight="1" x14ac:dyDescent="0.2">
      <c r="A97" s="8" t="s">
        <v>35</v>
      </c>
      <c r="B97" s="8" t="s">
        <v>25</v>
      </c>
      <c r="C97" s="9" t="str">
        <f t="shared" si="1"/>
        <v>UL Requirements Engineering</v>
      </c>
      <c r="D97" s="5" t="s">
        <v>19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1"/>
      <c r="T97" s="1" t="str">
        <f>IF(VLOOKUP($C97,Intermediate!$C$2:$R$208,2,FALSE)=D97, "", IF(D97="x","+", "-"))</f>
        <v/>
      </c>
      <c r="U97" s="1" t="str">
        <f>IF(VLOOKUP($C97,Intermediate!$C$2:$R$208,3,FALSE)=E97, "", IF(E97="x","+", "-"))</f>
        <v/>
      </c>
      <c r="V97" s="1" t="str">
        <f>IF(VLOOKUP($C97,Intermediate!$C$2:$R$208,4,FALSE)=F97, "", IF(F97="x","+", "-"))</f>
        <v/>
      </c>
      <c r="W97" s="1" t="str">
        <f>IF(VLOOKUP($C97,Intermediate!$C$2:$R$208,5,FALSE)=G97, "", IF(G97="x","+", "-"))</f>
        <v/>
      </c>
      <c r="X97" s="1" t="str">
        <f>IF(VLOOKUP($C97,Intermediate!$C$2:$R$208,6,FALSE)=H97, "", IF(H97="x","+", "-"))</f>
        <v/>
      </c>
      <c r="Y97" s="1" t="str">
        <f>IF(VLOOKUP($C97,Intermediate!$C$2:$R$208,7,FALSE)=I97, "", IF(I97="x","+", "-"))</f>
        <v/>
      </c>
      <c r="Z97" s="1" t="str">
        <f>IF(VLOOKUP($C97,Intermediate!$C$2:$R$208,8,FALSE)=J97, "", IF(J97="x","+", "-"))</f>
        <v/>
      </c>
      <c r="AA97" s="1" t="str">
        <f>IF(VLOOKUP($C97,Intermediate!$C$2:$R$208,9,FALSE)=K97, "", IF(K97="x","+", "-"))</f>
        <v/>
      </c>
      <c r="AB97" s="1" t="str">
        <f>IF(VLOOKUP($C97,Intermediate!$C$2:$R$208,10,FALSE)=L97, "", IF(L97="x","+", "-"))</f>
        <v/>
      </c>
      <c r="AC97" s="1" t="str">
        <f>IF(VLOOKUP($C97,Intermediate!$C$2:$R$208,11,FALSE)=M97, "", IF(M97="x","+", "-"))</f>
        <v/>
      </c>
      <c r="AD97" s="1" t="str">
        <f>IF(VLOOKUP($C97,Intermediate!$C$2:$R$208,12,FALSE)=N97, "", IF(N97="x","+", "-"))</f>
        <v/>
      </c>
      <c r="AE97" s="1" t="str">
        <f>IF(VLOOKUP($C97,Intermediate!$C$2:$R$208,13,FALSE)=O97, "", IF(O97="x","+", "-"))</f>
        <v/>
      </c>
      <c r="AF97" s="1" t="str">
        <f>IF(VLOOKUP($C97,Intermediate!$C$2:$R$208,14,FALSE)=P97, "", IF(P97="x","+", "-"))</f>
        <v/>
      </c>
      <c r="AG97" s="1" t="str">
        <f>IF(VLOOKUP($C97,Intermediate!$C$2:$R$208,15,FALSE)=Q97, "", IF(Q97="x","+", "-"))</f>
        <v/>
      </c>
      <c r="AH97" s="1" t="str">
        <f>IF(VLOOKUP($C97,Intermediate!$C$2:$R$208,16,FALSE)=R97, "", IF(R97="x","+", "-"))</f>
        <v/>
      </c>
    </row>
    <row r="98" spans="1:34" ht="15" customHeight="1" x14ac:dyDescent="0.2">
      <c r="A98" s="8" t="s">
        <v>133</v>
      </c>
      <c r="B98" s="8" t="s">
        <v>25</v>
      </c>
      <c r="C98" s="9" t="str">
        <f t="shared" si="1"/>
        <v>UL Security</v>
      </c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 t="s">
        <v>19</v>
      </c>
      <c r="P98" s="5"/>
      <c r="Q98" s="5"/>
      <c r="R98" s="5"/>
      <c r="S98" s="7"/>
      <c r="T98" s="1" t="str">
        <f>IF(VLOOKUP($C98,Intermediate!$C$2:$R$208,2,FALSE)=D98, "", IF(D98="x","+", "-"))</f>
        <v/>
      </c>
      <c r="U98" s="1" t="str">
        <f>IF(VLOOKUP($C98,Intermediate!$C$2:$R$208,3,FALSE)=E98, "", IF(E98="x","+", "-"))</f>
        <v/>
      </c>
      <c r="V98" s="1" t="str">
        <f>IF(VLOOKUP($C98,Intermediate!$C$2:$R$208,4,FALSE)=F98, "", IF(F98="x","+", "-"))</f>
        <v/>
      </c>
      <c r="W98" s="1" t="str">
        <f>IF(VLOOKUP($C98,Intermediate!$C$2:$R$208,5,FALSE)=G98, "", IF(G98="x","+", "-"))</f>
        <v/>
      </c>
      <c r="X98" s="1" t="str">
        <f>IF(VLOOKUP($C98,Intermediate!$C$2:$R$208,6,FALSE)=H98, "", IF(H98="x","+", "-"))</f>
        <v/>
      </c>
      <c r="Y98" s="1" t="str">
        <f>IF(VLOOKUP($C98,Intermediate!$C$2:$R$208,7,FALSE)=I98, "", IF(I98="x","+", "-"))</f>
        <v/>
      </c>
      <c r="Z98" s="1" t="str">
        <f>IF(VLOOKUP($C98,Intermediate!$C$2:$R$208,8,FALSE)=J98, "", IF(J98="x","+", "-"))</f>
        <v/>
      </c>
      <c r="AA98" s="1" t="str">
        <f>IF(VLOOKUP($C98,Intermediate!$C$2:$R$208,9,FALSE)=K98, "", IF(K98="x","+", "-"))</f>
        <v/>
      </c>
      <c r="AB98" s="1" t="str">
        <f>IF(VLOOKUP($C98,Intermediate!$C$2:$R$208,10,FALSE)=L98, "", IF(L98="x","+", "-"))</f>
        <v/>
      </c>
      <c r="AC98" s="1" t="str">
        <f>IF(VLOOKUP($C98,Intermediate!$C$2:$R$208,11,FALSE)=M98, "", IF(M98="x","+", "-"))</f>
        <v/>
      </c>
      <c r="AD98" s="1" t="str">
        <f>IF(VLOOKUP($C98,Intermediate!$C$2:$R$208,12,FALSE)=N98, "", IF(N98="x","+", "-"))</f>
        <v/>
      </c>
      <c r="AE98" s="1" t="str">
        <f>IF(VLOOKUP($C98,Intermediate!$C$2:$R$208,13,FALSE)=O98, "", IF(O98="x","+", "-"))</f>
        <v/>
      </c>
      <c r="AF98" s="1" t="str">
        <f>IF(VLOOKUP($C98,Intermediate!$C$2:$R$208,14,FALSE)=P98, "", IF(P98="x","+", "-"))</f>
        <v/>
      </c>
      <c r="AG98" s="1" t="str">
        <f>IF(VLOOKUP($C98,Intermediate!$C$2:$R$208,15,FALSE)=Q98, "", IF(Q98="x","+", "-"))</f>
        <v/>
      </c>
      <c r="AH98" s="1" t="str">
        <f>IF(VLOOKUP($C98,Intermediate!$C$2:$R$208,16,FALSE)=R98, "", IF(R98="x","+", "-"))</f>
        <v/>
      </c>
    </row>
    <row r="99" spans="1:34" ht="15" customHeight="1" x14ac:dyDescent="0.2">
      <c r="A99" s="8" t="s">
        <v>60</v>
      </c>
      <c r="B99" s="8" t="s">
        <v>25</v>
      </c>
      <c r="C99" s="9" t="str">
        <f t="shared" si="1"/>
        <v>UL Seminar Business Information Systems</v>
      </c>
      <c r="D99" s="5"/>
      <c r="E99" s="5" t="s">
        <v>19</v>
      </c>
      <c r="F99" s="5"/>
      <c r="G99" s="5"/>
      <c r="H99" s="5"/>
      <c r="I99" s="5" t="s">
        <v>19</v>
      </c>
      <c r="J99" s="5"/>
      <c r="K99" s="5"/>
      <c r="L99" s="5" t="s">
        <v>19</v>
      </c>
      <c r="M99" s="5"/>
      <c r="N99" s="5"/>
      <c r="O99" s="5"/>
      <c r="P99" s="5"/>
      <c r="Q99" s="5"/>
      <c r="R99" s="5"/>
      <c r="S99" s="7"/>
      <c r="T99" s="1" t="str">
        <f>IF(VLOOKUP($C99,Intermediate!$C$2:$R$208,2,FALSE)=D99, "", IF(D99="x","+", "-"))</f>
        <v/>
      </c>
      <c r="U99" s="1" t="str">
        <f>IF(VLOOKUP($C99,Intermediate!$C$2:$R$208,3,FALSE)=E99, "", IF(E99="x","+", "-"))</f>
        <v/>
      </c>
      <c r="V99" s="1" t="str">
        <f>IF(VLOOKUP($C99,Intermediate!$C$2:$R$208,4,FALSE)=F99, "", IF(F99="x","+", "-"))</f>
        <v/>
      </c>
      <c r="W99" s="1" t="str">
        <f>IF(VLOOKUP($C99,Intermediate!$C$2:$R$208,5,FALSE)=G99, "", IF(G99="x","+", "-"))</f>
        <v/>
      </c>
      <c r="X99" s="1" t="str">
        <f>IF(VLOOKUP($C99,Intermediate!$C$2:$R$208,6,FALSE)=H99, "", IF(H99="x","+", "-"))</f>
        <v/>
      </c>
      <c r="Y99" s="1" t="str">
        <f>IF(VLOOKUP($C99,Intermediate!$C$2:$R$208,7,FALSE)=I99, "", IF(I99="x","+", "-"))</f>
        <v/>
      </c>
      <c r="Z99" s="1" t="str">
        <f>IF(VLOOKUP($C99,Intermediate!$C$2:$R$208,8,FALSE)=J99, "", IF(J99="x","+", "-"))</f>
        <v/>
      </c>
      <c r="AA99" s="1" t="str">
        <f>IF(VLOOKUP($C99,Intermediate!$C$2:$R$208,9,FALSE)=K99, "", IF(K99="x","+", "-"))</f>
        <v/>
      </c>
      <c r="AB99" s="1" t="str">
        <f>IF(VLOOKUP($C99,Intermediate!$C$2:$R$208,10,FALSE)=L99, "", IF(L99="x","+", "-"))</f>
        <v/>
      </c>
      <c r="AC99" s="1" t="str">
        <f>IF(VLOOKUP($C99,Intermediate!$C$2:$R$208,11,FALSE)=M99, "", IF(M99="x","+", "-"))</f>
        <v/>
      </c>
      <c r="AD99" s="1" t="str">
        <f>IF(VLOOKUP($C99,Intermediate!$C$2:$R$208,12,FALSE)=N99, "", IF(N99="x","+", "-"))</f>
        <v/>
      </c>
      <c r="AE99" s="1" t="str">
        <f>IF(VLOOKUP($C99,Intermediate!$C$2:$R$208,13,FALSE)=O99, "", IF(O99="x","+", "-"))</f>
        <v/>
      </c>
      <c r="AF99" s="1" t="str">
        <f>IF(VLOOKUP($C99,Intermediate!$C$2:$R$208,14,FALSE)=P99, "", IF(P99="x","+", "-"))</f>
        <v/>
      </c>
      <c r="AG99" s="1" t="str">
        <f>IF(VLOOKUP($C99,Intermediate!$C$2:$R$208,15,FALSE)=Q99, "", IF(Q99="x","+", "-"))</f>
        <v/>
      </c>
      <c r="AH99" s="1" t="str">
        <f>IF(VLOOKUP($C99,Intermediate!$C$2:$R$208,16,FALSE)=R99, "", IF(R99="x","+", "-"))</f>
        <v/>
      </c>
    </row>
    <row r="100" spans="1:34" ht="15" customHeight="1" x14ac:dyDescent="0.2">
      <c r="A100" s="8" t="s">
        <v>47</v>
      </c>
      <c r="B100" s="8" t="s">
        <v>25</v>
      </c>
      <c r="C100" s="9" t="str">
        <f t="shared" si="1"/>
        <v>UL Software Development</v>
      </c>
      <c r="D100" s="5"/>
      <c r="E100" s="5"/>
      <c r="F100" s="5"/>
      <c r="G100" s="5" t="s">
        <v>19</v>
      </c>
      <c r="H100" s="5"/>
      <c r="I100" s="5"/>
      <c r="J100" s="5"/>
      <c r="K100" s="5"/>
      <c r="L100" s="5"/>
      <c r="M100" s="5" t="s">
        <v>19</v>
      </c>
      <c r="N100" s="5"/>
      <c r="O100" s="5"/>
      <c r="P100" s="5"/>
      <c r="Q100" s="5"/>
      <c r="R100" s="5"/>
      <c r="S100" s="1"/>
      <c r="T100" s="1" t="str">
        <f>IF(VLOOKUP($C100,Intermediate!$C$2:$R$208,2,FALSE)=D100, "", IF(D100="x","+", "-"))</f>
        <v/>
      </c>
      <c r="U100" s="1" t="str">
        <f>IF(VLOOKUP($C100,Intermediate!$C$2:$R$208,3,FALSE)=E100, "", IF(E100="x","+", "-"))</f>
        <v/>
      </c>
      <c r="V100" s="1" t="str">
        <f>IF(VLOOKUP($C100,Intermediate!$C$2:$R$208,4,FALSE)=F100, "", IF(F100="x","+", "-"))</f>
        <v/>
      </c>
      <c r="W100" s="1" t="str">
        <f>IF(VLOOKUP($C100,Intermediate!$C$2:$R$208,5,FALSE)=G100, "", IF(G100="x","+", "-"))</f>
        <v/>
      </c>
      <c r="X100" s="1" t="str">
        <f>IF(VLOOKUP($C100,Intermediate!$C$2:$R$208,6,FALSE)=H100, "", IF(H100="x","+", "-"))</f>
        <v/>
      </c>
      <c r="Y100" s="1" t="str">
        <f>IF(VLOOKUP($C100,Intermediate!$C$2:$R$208,7,FALSE)=I100, "", IF(I100="x","+", "-"))</f>
        <v/>
      </c>
      <c r="Z100" s="1" t="str">
        <f>IF(VLOOKUP($C100,Intermediate!$C$2:$R$208,8,FALSE)=J100, "", IF(J100="x","+", "-"))</f>
        <v/>
      </c>
      <c r="AA100" s="1" t="str">
        <f>IF(VLOOKUP($C100,Intermediate!$C$2:$R$208,9,FALSE)=K100, "", IF(K100="x","+", "-"))</f>
        <v/>
      </c>
      <c r="AB100" s="1" t="str">
        <f>IF(VLOOKUP($C100,Intermediate!$C$2:$R$208,10,FALSE)=L100, "", IF(L100="x","+", "-"))</f>
        <v/>
      </c>
      <c r="AC100" s="1" t="str">
        <f>IF(VLOOKUP($C100,Intermediate!$C$2:$R$208,11,FALSE)=M100, "", IF(M100="x","+", "-"))</f>
        <v/>
      </c>
      <c r="AD100" s="1" t="str">
        <f>IF(VLOOKUP($C100,Intermediate!$C$2:$R$208,12,FALSE)=N100, "", IF(N100="x","+", "-"))</f>
        <v/>
      </c>
      <c r="AE100" s="1" t="str">
        <f>IF(VLOOKUP($C100,Intermediate!$C$2:$R$208,13,FALSE)=O100, "", IF(O100="x","+", "-"))</f>
        <v/>
      </c>
      <c r="AF100" s="1" t="str">
        <f>IF(VLOOKUP($C100,Intermediate!$C$2:$R$208,14,FALSE)=P100, "", IF(P100="x","+", "-"))</f>
        <v/>
      </c>
      <c r="AG100" s="1" t="str">
        <f>IF(VLOOKUP($C100,Intermediate!$C$2:$R$208,15,FALSE)=Q100, "", IF(Q100="x","+", "-"))</f>
        <v/>
      </c>
      <c r="AH100" s="1" t="str">
        <f>IF(VLOOKUP($C100,Intermediate!$C$2:$R$208,16,FALSE)=R100, "", IF(R100="x","+", "-"))</f>
        <v/>
      </c>
    </row>
    <row r="101" spans="1:34" ht="15" customHeight="1" x14ac:dyDescent="0.2">
      <c r="A101" s="8" t="s">
        <v>90</v>
      </c>
      <c r="B101" s="8" t="s">
        <v>25</v>
      </c>
      <c r="C101" s="9" t="str">
        <f t="shared" si="1"/>
        <v>UL Software Engineering</v>
      </c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12"/>
      <c r="O101" s="5"/>
      <c r="P101" s="5"/>
      <c r="Q101" s="5"/>
      <c r="R101" s="5"/>
      <c r="S101" s="1"/>
      <c r="T101" s="1" t="str">
        <f>IF(VLOOKUP($C101,Intermediate!$C$2:$R$208,2,FALSE)=D101, "", IF(D101="x","+", "-"))</f>
        <v/>
      </c>
      <c r="U101" s="1" t="str">
        <f>IF(VLOOKUP($C101,Intermediate!$C$2:$R$208,3,FALSE)=E101, "", IF(E101="x","+", "-"))</f>
        <v/>
      </c>
      <c r="V101" s="1" t="str">
        <f>IF(VLOOKUP($C101,Intermediate!$C$2:$R$208,4,FALSE)=F101, "", IF(F101="x","+", "-"))</f>
        <v/>
      </c>
      <c r="W101" s="1" t="str">
        <f>IF(VLOOKUP($C101,Intermediate!$C$2:$R$208,5,FALSE)=G101, "", IF(G101="x","+", "-"))</f>
        <v/>
      </c>
      <c r="X101" s="1" t="str">
        <f>IF(VLOOKUP($C101,Intermediate!$C$2:$R$208,6,FALSE)=H101, "", IF(H101="x","+", "-"))</f>
        <v/>
      </c>
      <c r="Y101" s="1" t="str">
        <f>IF(VLOOKUP($C101,Intermediate!$C$2:$R$208,7,FALSE)=I101, "", IF(I101="x","+", "-"))</f>
        <v/>
      </c>
      <c r="Z101" s="1" t="str">
        <f>IF(VLOOKUP($C101,Intermediate!$C$2:$R$208,8,FALSE)=J101, "", IF(J101="x","+", "-"))</f>
        <v/>
      </c>
      <c r="AA101" s="1" t="str">
        <f>IF(VLOOKUP($C101,Intermediate!$C$2:$R$208,9,FALSE)=K101, "", IF(K101="x","+", "-"))</f>
        <v/>
      </c>
      <c r="AB101" s="1" t="str">
        <f>IF(VLOOKUP($C101,Intermediate!$C$2:$R$208,10,FALSE)=L101, "", IF(L101="x","+", "-"))</f>
        <v/>
      </c>
      <c r="AC101" s="1" t="str">
        <f>IF(VLOOKUP($C101,Intermediate!$C$2:$R$208,11,FALSE)=M101, "", IF(M101="x","+", "-"))</f>
        <v/>
      </c>
      <c r="AD101" s="1" t="str">
        <f>IF(VLOOKUP($C101,Intermediate!$C$2:$R$208,12,FALSE)=N101, "", IF(N101="x","+", "-"))</f>
        <v/>
      </c>
      <c r="AE101" s="1" t="str">
        <f>IF(VLOOKUP($C101,Intermediate!$C$2:$R$208,13,FALSE)=O101, "", IF(O101="x","+", "-"))</f>
        <v/>
      </c>
      <c r="AF101" s="1" t="str">
        <f>IF(VLOOKUP($C101,Intermediate!$C$2:$R$208,14,FALSE)=P101, "", IF(P101="x","+", "-"))</f>
        <v/>
      </c>
      <c r="AG101" s="1" t="str">
        <f>IF(VLOOKUP($C101,Intermediate!$C$2:$R$208,15,FALSE)=Q101, "", IF(Q101="x","+", "-"))</f>
        <v/>
      </c>
      <c r="AH101" s="1" t="str">
        <f>IF(VLOOKUP($C101,Intermediate!$C$2:$R$208,16,FALSE)=R101, "", IF(R101="x","+", "-"))</f>
        <v/>
      </c>
    </row>
    <row r="102" spans="1:34" ht="15" customHeight="1" x14ac:dyDescent="0.2">
      <c r="A102" s="8" t="s">
        <v>134</v>
      </c>
      <c r="B102" s="8" t="s">
        <v>25</v>
      </c>
      <c r="C102" s="9" t="str">
        <f t="shared" si="1"/>
        <v>UL Computational Models and Semantics</v>
      </c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4"/>
      <c r="O102" s="5"/>
      <c r="P102" s="5"/>
      <c r="Q102" s="5"/>
      <c r="R102" s="5" t="s">
        <v>19</v>
      </c>
      <c r="S102" s="7"/>
      <c r="T102" s="1" t="str">
        <f>IF(VLOOKUP($C102,Intermediate!$C$2:$R$208,2,FALSE)=D102, "", IF(D102="x","+", "-"))</f>
        <v/>
      </c>
      <c r="U102" s="1" t="str">
        <f>IF(VLOOKUP($C102,Intermediate!$C$2:$R$208,3,FALSE)=E102, "", IF(E102="x","+", "-"))</f>
        <v/>
      </c>
      <c r="V102" s="1" t="str">
        <f>IF(VLOOKUP($C102,Intermediate!$C$2:$R$208,4,FALSE)=F102, "", IF(F102="x","+", "-"))</f>
        <v/>
      </c>
      <c r="W102" s="1" t="str">
        <f>IF(VLOOKUP($C102,Intermediate!$C$2:$R$208,5,FALSE)=G102, "", IF(G102="x","+", "-"))</f>
        <v/>
      </c>
      <c r="X102" s="1" t="str">
        <f>IF(VLOOKUP($C102,Intermediate!$C$2:$R$208,6,FALSE)=H102, "", IF(H102="x","+", "-"))</f>
        <v/>
      </c>
      <c r="Y102" s="1" t="str">
        <f>IF(VLOOKUP($C102,Intermediate!$C$2:$R$208,7,FALSE)=I102, "", IF(I102="x","+", "-"))</f>
        <v/>
      </c>
      <c r="Z102" s="1" t="str">
        <f>IF(VLOOKUP($C102,Intermediate!$C$2:$R$208,8,FALSE)=J102, "", IF(J102="x","+", "-"))</f>
        <v/>
      </c>
      <c r="AA102" s="1" t="str">
        <f>IF(VLOOKUP($C102,Intermediate!$C$2:$R$208,9,FALSE)=K102, "", IF(K102="x","+", "-"))</f>
        <v/>
      </c>
      <c r="AB102" s="1" t="str">
        <f>IF(VLOOKUP($C102,Intermediate!$C$2:$R$208,10,FALSE)=L102, "", IF(L102="x","+", "-"))</f>
        <v/>
      </c>
      <c r="AC102" s="1" t="str">
        <f>IF(VLOOKUP($C102,Intermediate!$C$2:$R$208,11,FALSE)=M102, "", IF(M102="x","+", "-"))</f>
        <v/>
      </c>
      <c r="AD102" s="1" t="str">
        <f>IF(VLOOKUP($C102,Intermediate!$C$2:$R$208,12,FALSE)=N102, "", IF(N102="x","+", "-"))</f>
        <v/>
      </c>
      <c r="AE102" s="1" t="str">
        <f>IF(VLOOKUP($C102,Intermediate!$C$2:$R$208,13,FALSE)=O102, "", IF(O102="x","+", "-"))</f>
        <v/>
      </c>
      <c r="AF102" s="1" t="str">
        <f>IF(VLOOKUP($C102,Intermediate!$C$2:$R$208,14,FALSE)=P102, "", IF(P102="x","+", "-"))</f>
        <v/>
      </c>
      <c r="AG102" s="1" t="str">
        <f>IF(VLOOKUP($C102,Intermediate!$C$2:$R$208,15,FALSE)=Q102, "", IF(Q102="x","+", "-"))</f>
        <v/>
      </c>
      <c r="AH102" s="1" t="str">
        <f>IF(VLOOKUP($C102,Intermediate!$C$2:$R$208,16,FALSE)=R102, "", IF(R102="x","+", "-"))</f>
        <v/>
      </c>
    </row>
    <row r="103" spans="1:34" ht="15" customHeight="1" x14ac:dyDescent="0.2">
      <c r="A103" s="8" t="s">
        <v>135</v>
      </c>
      <c r="B103" s="8" t="s">
        <v>25</v>
      </c>
      <c r="C103" s="9" t="str">
        <f t="shared" si="1"/>
        <v>UL Creative Programming</v>
      </c>
      <c r="D103" s="5"/>
      <c r="E103" s="5"/>
      <c r="F103" s="5"/>
      <c r="G103" s="5" t="s">
        <v>19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7"/>
      <c r="T103" s="1" t="str">
        <f>IF(VLOOKUP($C103,Intermediate!$C$2:$R$208,2,FALSE)=D103, "", IF(D103="x","+", "-"))</f>
        <v/>
      </c>
      <c r="U103" s="1" t="str">
        <f>IF(VLOOKUP($C103,Intermediate!$C$2:$R$208,3,FALSE)=E103, "", IF(E103="x","+", "-"))</f>
        <v/>
      </c>
      <c r="V103" s="1" t="str">
        <f>IF(VLOOKUP($C103,Intermediate!$C$2:$R$208,4,FALSE)=F103, "", IF(F103="x","+", "-"))</f>
        <v/>
      </c>
      <c r="W103" s="1" t="str">
        <f>IF(VLOOKUP($C103,Intermediate!$C$2:$R$208,5,FALSE)=G103, "", IF(G103="x","+", "-"))</f>
        <v/>
      </c>
      <c r="X103" s="1" t="str">
        <f>IF(VLOOKUP($C103,Intermediate!$C$2:$R$208,6,FALSE)=H103, "", IF(H103="x","+", "-"))</f>
        <v/>
      </c>
      <c r="Y103" s="1" t="str">
        <f>IF(VLOOKUP($C103,Intermediate!$C$2:$R$208,7,FALSE)=I103, "", IF(I103="x","+", "-"))</f>
        <v/>
      </c>
      <c r="Z103" s="1" t="str">
        <f>IF(VLOOKUP($C103,Intermediate!$C$2:$R$208,8,FALSE)=J103, "", IF(J103="x","+", "-"))</f>
        <v/>
      </c>
      <c r="AA103" s="1" t="str">
        <f>IF(VLOOKUP($C103,Intermediate!$C$2:$R$208,9,FALSE)=K103, "", IF(K103="x","+", "-"))</f>
        <v/>
      </c>
      <c r="AB103" s="1" t="str">
        <f>IF(VLOOKUP($C103,Intermediate!$C$2:$R$208,10,FALSE)=L103, "", IF(L103="x","+", "-"))</f>
        <v/>
      </c>
      <c r="AC103" s="1" t="str">
        <f>IF(VLOOKUP($C103,Intermediate!$C$2:$R$208,11,FALSE)=M103, "", IF(M103="x","+", "-"))</f>
        <v/>
      </c>
      <c r="AD103" s="1" t="str">
        <f>IF(VLOOKUP($C103,Intermediate!$C$2:$R$208,12,FALSE)=N103, "", IF(N103="x","+", "-"))</f>
        <v/>
      </c>
      <c r="AE103" s="1" t="str">
        <f>IF(VLOOKUP($C103,Intermediate!$C$2:$R$208,13,FALSE)=O103, "", IF(O103="x","+", "-"))</f>
        <v/>
      </c>
      <c r="AF103" s="1" t="str">
        <f>IF(VLOOKUP($C103,Intermediate!$C$2:$R$208,14,FALSE)=P103, "", IF(P103="x","+", "-"))</f>
        <v/>
      </c>
      <c r="AG103" s="1" t="str">
        <f>IF(VLOOKUP($C103,Intermediate!$C$2:$R$208,15,FALSE)=Q103, "", IF(Q103="x","+", "-"))</f>
        <v/>
      </c>
      <c r="AH103" s="1" t="str">
        <f>IF(VLOOKUP($C103,Intermediate!$C$2:$R$208,16,FALSE)=R103, "", IF(R103="x","+", "-"))</f>
        <v/>
      </c>
    </row>
    <row r="104" spans="1:34" ht="15" customHeight="1" x14ac:dyDescent="0.2">
      <c r="A104" s="8" t="s">
        <v>128</v>
      </c>
      <c r="B104" s="8" t="s">
        <v>25</v>
      </c>
      <c r="C104" s="9" t="str">
        <f t="shared" si="1"/>
        <v>UL Cryptographic Engineering</v>
      </c>
      <c r="D104" s="5"/>
      <c r="E104" s="5"/>
      <c r="F104" s="5"/>
      <c r="G104" s="5" t="s">
        <v>19</v>
      </c>
      <c r="H104" s="5"/>
      <c r="I104" s="5"/>
      <c r="J104" s="5"/>
      <c r="K104" s="5"/>
      <c r="L104" s="5"/>
      <c r="M104" s="5"/>
      <c r="N104" s="5"/>
      <c r="O104" s="5" t="s">
        <v>19</v>
      </c>
      <c r="P104" s="5"/>
      <c r="Q104" s="5"/>
      <c r="R104" s="5"/>
      <c r="S104" s="7"/>
      <c r="T104" s="1" t="str">
        <f>IF(VLOOKUP($C104,Intermediate!$C$2:$R$208,2,FALSE)=D104, "", IF(D104="x","+", "-"))</f>
        <v/>
      </c>
      <c r="U104" s="1" t="str">
        <f>IF(VLOOKUP($C104,Intermediate!$C$2:$R$208,3,FALSE)=E104, "", IF(E104="x","+", "-"))</f>
        <v/>
      </c>
      <c r="V104" s="1" t="str">
        <f>IF(VLOOKUP($C104,Intermediate!$C$2:$R$208,4,FALSE)=F104, "", IF(F104="x","+", "-"))</f>
        <v/>
      </c>
      <c r="W104" s="1" t="str">
        <f>IF(VLOOKUP($C104,Intermediate!$C$2:$R$208,5,FALSE)=G104, "", IF(G104="x","+", "-"))</f>
        <v/>
      </c>
      <c r="X104" s="1" t="str">
        <f>IF(VLOOKUP($C104,Intermediate!$C$2:$R$208,6,FALSE)=H104, "", IF(H104="x","+", "-"))</f>
        <v/>
      </c>
      <c r="Y104" s="1" t="str">
        <f>IF(VLOOKUP($C104,Intermediate!$C$2:$R$208,7,FALSE)=I104, "", IF(I104="x","+", "-"))</f>
        <v/>
      </c>
      <c r="Z104" s="1" t="str">
        <f>IF(VLOOKUP($C104,Intermediate!$C$2:$R$208,8,FALSE)=J104, "", IF(J104="x","+", "-"))</f>
        <v/>
      </c>
      <c r="AA104" s="1" t="str">
        <f>IF(VLOOKUP($C104,Intermediate!$C$2:$R$208,9,FALSE)=K104, "", IF(K104="x","+", "-"))</f>
        <v/>
      </c>
      <c r="AB104" s="1" t="str">
        <f>IF(VLOOKUP($C104,Intermediate!$C$2:$R$208,10,FALSE)=L104, "", IF(L104="x","+", "-"))</f>
        <v/>
      </c>
      <c r="AC104" s="1" t="str">
        <f>IF(VLOOKUP($C104,Intermediate!$C$2:$R$208,11,FALSE)=M104, "", IF(M104="x","+", "-"))</f>
        <v/>
      </c>
      <c r="AD104" s="1" t="str">
        <f>IF(VLOOKUP($C104,Intermediate!$C$2:$R$208,12,FALSE)=N104, "", IF(N104="x","+", "-"))</f>
        <v/>
      </c>
      <c r="AE104" s="1" t="str">
        <f>IF(VLOOKUP($C104,Intermediate!$C$2:$R$208,13,FALSE)=O104, "", IF(O104="x","+", "-"))</f>
        <v/>
      </c>
      <c r="AF104" s="1" t="str">
        <f>IF(VLOOKUP($C104,Intermediate!$C$2:$R$208,14,FALSE)=P104, "", IF(P104="x","+", "-"))</f>
        <v/>
      </c>
      <c r="AG104" s="1" t="str">
        <f>IF(VLOOKUP($C104,Intermediate!$C$2:$R$208,15,FALSE)=Q104, "", IF(Q104="x","+", "-"))</f>
        <v/>
      </c>
      <c r="AH104" s="1" t="str">
        <f>IF(VLOOKUP($C104,Intermediate!$C$2:$R$208,16,FALSE)=R104, "", IF(R104="x","+", "-"))</f>
        <v/>
      </c>
    </row>
    <row r="105" spans="1:34" ht="15" customHeight="1" x14ac:dyDescent="0.2">
      <c r="A105" s="8" t="s">
        <v>210</v>
      </c>
      <c r="B105" s="8" t="s">
        <v>25</v>
      </c>
      <c r="C105" s="9" t="str">
        <f t="shared" si="1"/>
        <v>UL Foundations of Software Testing</v>
      </c>
      <c r="D105" s="5"/>
      <c r="E105" s="5"/>
      <c r="F105" s="5"/>
      <c r="G105" s="5"/>
      <c r="H105" s="5" t="s">
        <v>19</v>
      </c>
      <c r="I105" s="5"/>
      <c r="J105" s="5"/>
      <c r="K105" s="5"/>
      <c r="L105" s="5"/>
      <c r="M105" s="5"/>
      <c r="N105" s="5"/>
      <c r="O105" s="5"/>
      <c r="P105" s="5"/>
      <c r="Q105" s="4"/>
      <c r="R105" s="5"/>
      <c r="S105" s="7"/>
      <c r="T105" s="1" t="str">
        <f>IF(VLOOKUP($C105,Intermediate!$C$2:$R$208,2,FALSE)=D105, "", IF(D105="x","+", "-"))</f>
        <v/>
      </c>
      <c r="U105" s="1" t="str">
        <f>IF(VLOOKUP($C105,Intermediate!$C$2:$R$208,3,FALSE)=E105, "", IF(E105="x","+", "-"))</f>
        <v/>
      </c>
      <c r="V105" s="1" t="str">
        <f>IF(VLOOKUP($C105,Intermediate!$C$2:$R$208,4,FALSE)=F105, "", IF(F105="x","+", "-"))</f>
        <v/>
      </c>
      <c r="W105" s="1" t="str">
        <f>IF(VLOOKUP($C105,Intermediate!$C$2:$R$208,5,FALSE)=G105, "", IF(G105="x","+", "-"))</f>
        <v/>
      </c>
      <c r="X105" s="1" t="str">
        <f>IF(VLOOKUP($C105,Intermediate!$C$2:$R$208,6,FALSE)=H105, "", IF(H105="x","+", "-"))</f>
        <v/>
      </c>
      <c r="Y105" s="1" t="str">
        <f>IF(VLOOKUP($C105,Intermediate!$C$2:$R$208,7,FALSE)=I105, "", IF(I105="x","+", "-"))</f>
        <v/>
      </c>
      <c r="Z105" s="1" t="str">
        <f>IF(VLOOKUP($C105,Intermediate!$C$2:$R$208,8,FALSE)=J105, "", IF(J105="x","+", "-"))</f>
        <v/>
      </c>
      <c r="AA105" s="1" t="str">
        <f>IF(VLOOKUP($C105,Intermediate!$C$2:$R$208,9,FALSE)=K105, "", IF(K105="x","+", "-"))</f>
        <v/>
      </c>
      <c r="AB105" s="1" t="str">
        <f>IF(VLOOKUP($C105,Intermediate!$C$2:$R$208,10,FALSE)=L105, "", IF(L105="x","+", "-"))</f>
        <v/>
      </c>
      <c r="AC105" s="1" t="str">
        <f>IF(VLOOKUP($C105,Intermediate!$C$2:$R$208,11,FALSE)=M105, "", IF(M105="x","+", "-"))</f>
        <v/>
      </c>
      <c r="AD105" s="1" t="str">
        <f>IF(VLOOKUP($C105,Intermediate!$C$2:$R$208,12,FALSE)=N105, "", IF(N105="x","+", "-"))</f>
        <v/>
      </c>
      <c r="AE105" s="1" t="str">
        <f>IF(VLOOKUP($C105,Intermediate!$C$2:$R$208,13,FALSE)=O105, "", IF(O105="x","+", "-"))</f>
        <v/>
      </c>
      <c r="AF105" s="1" t="str">
        <f>IF(VLOOKUP($C105,Intermediate!$C$2:$R$208,14,FALSE)=P105, "", IF(P105="x","+", "-"))</f>
        <v/>
      </c>
      <c r="AG105" s="1" t="str">
        <f>IF(VLOOKUP($C105,Intermediate!$C$2:$R$208,15,FALSE)=Q105, "", IF(Q105="x","+", "-"))</f>
        <v/>
      </c>
      <c r="AH105" s="1" t="str">
        <f>IF(VLOOKUP($C105,Intermediate!$C$2:$R$208,16,FALSE)=R105, "", IF(R105="x","+", "-"))</f>
        <v/>
      </c>
    </row>
    <row r="106" spans="1:34" ht="15" customHeight="1" x14ac:dyDescent="0.2">
      <c r="A106" s="8" t="s">
        <v>137</v>
      </c>
      <c r="B106" s="8" t="s">
        <v>25</v>
      </c>
      <c r="C106" s="9" t="str">
        <f t="shared" si="1"/>
        <v>UL ICT Architectures</v>
      </c>
      <c r="D106" s="5"/>
      <c r="E106" s="5" t="s">
        <v>19</v>
      </c>
      <c r="F106" s="5"/>
      <c r="G106" s="5"/>
      <c r="H106" s="5"/>
      <c r="I106" s="12"/>
      <c r="J106" s="5"/>
      <c r="K106" s="5"/>
      <c r="L106" s="5"/>
      <c r="M106" s="5"/>
      <c r="N106" s="5"/>
      <c r="O106" s="5"/>
      <c r="P106" s="5"/>
      <c r="Q106" s="5"/>
      <c r="R106" s="5"/>
      <c r="S106" s="1"/>
      <c r="T106" s="1" t="str">
        <f>IF(VLOOKUP($C106,Intermediate!$C$2:$R$208,2,FALSE)=D106, "", IF(D106="x","+", "-"))</f>
        <v/>
      </c>
      <c r="U106" s="1" t="str">
        <f>IF(VLOOKUP($C106,Intermediate!$C$2:$R$208,3,FALSE)=E106, "", IF(E106="x","+", "-"))</f>
        <v/>
      </c>
      <c r="V106" s="1" t="str">
        <f>IF(VLOOKUP($C106,Intermediate!$C$2:$R$208,4,FALSE)=F106, "", IF(F106="x","+", "-"))</f>
        <v/>
      </c>
      <c r="W106" s="1" t="str">
        <f>IF(VLOOKUP($C106,Intermediate!$C$2:$R$208,5,FALSE)=G106, "", IF(G106="x","+", "-"))</f>
        <v/>
      </c>
      <c r="X106" s="1" t="str">
        <f>IF(VLOOKUP($C106,Intermediate!$C$2:$R$208,6,FALSE)=H106, "", IF(H106="x","+", "-"))</f>
        <v/>
      </c>
      <c r="Y106" s="1" t="str">
        <f>IF(VLOOKUP($C106,Intermediate!$C$2:$R$208,7,FALSE)=I106, "", IF(I106="x","+", "-"))</f>
        <v/>
      </c>
      <c r="Z106" s="1" t="str">
        <f>IF(VLOOKUP($C106,Intermediate!$C$2:$R$208,8,FALSE)=J106, "", IF(J106="x","+", "-"))</f>
        <v/>
      </c>
      <c r="AA106" s="1" t="str">
        <f>IF(VLOOKUP($C106,Intermediate!$C$2:$R$208,9,FALSE)=K106, "", IF(K106="x","+", "-"))</f>
        <v/>
      </c>
      <c r="AB106" s="1" t="str">
        <f>IF(VLOOKUP($C106,Intermediate!$C$2:$R$208,10,FALSE)=L106, "", IF(L106="x","+", "-"))</f>
        <v/>
      </c>
      <c r="AC106" s="1" t="str">
        <f>IF(VLOOKUP($C106,Intermediate!$C$2:$R$208,11,FALSE)=M106, "", IF(M106="x","+", "-"))</f>
        <v/>
      </c>
      <c r="AD106" s="1" t="str">
        <f>IF(VLOOKUP($C106,Intermediate!$C$2:$R$208,12,FALSE)=N106, "", IF(N106="x","+", "-"))</f>
        <v/>
      </c>
      <c r="AE106" s="1" t="str">
        <f>IF(VLOOKUP($C106,Intermediate!$C$2:$R$208,13,FALSE)=O106, "", IF(O106="x","+", "-"))</f>
        <v/>
      </c>
      <c r="AF106" s="1" t="str">
        <f>IF(VLOOKUP($C106,Intermediate!$C$2:$R$208,14,FALSE)=P106, "", IF(P106="x","+", "-"))</f>
        <v/>
      </c>
      <c r="AG106" s="1" t="str">
        <f>IF(VLOOKUP($C106,Intermediate!$C$2:$R$208,15,FALSE)=Q106, "", IF(Q106="x","+", "-"))</f>
        <v/>
      </c>
      <c r="AH106" s="1" t="str">
        <f>IF(VLOOKUP($C106,Intermediate!$C$2:$R$208,16,FALSE)=R106, "", IF(R106="x","+", "-"))</f>
        <v/>
      </c>
    </row>
    <row r="107" spans="1:34" ht="15" customHeight="1" x14ac:dyDescent="0.2">
      <c r="A107" s="8" t="s">
        <v>53</v>
      </c>
      <c r="B107" s="8" t="s">
        <v>25</v>
      </c>
      <c r="C107" s="9" t="str">
        <f t="shared" si="1"/>
        <v>UL Managing Software Evolution</v>
      </c>
      <c r="D107" s="5"/>
      <c r="E107" s="5"/>
      <c r="F107" s="5"/>
      <c r="G107" s="5"/>
      <c r="H107" s="5"/>
      <c r="I107" s="15" t="s">
        <v>19</v>
      </c>
      <c r="J107" s="5" t="s">
        <v>19</v>
      </c>
      <c r="K107" s="5"/>
      <c r="L107" s="5" t="s">
        <v>19</v>
      </c>
      <c r="M107" s="5"/>
      <c r="N107" s="12"/>
      <c r="O107" s="5"/>
      <c r="P107" s="12"/>
      <c r="Q107" s="5"/>
      <c r="R107" s="5"/>
      <c r="S107" s="1"/>
      <c r="T107" s="1" t="str">
        <f>IF(VLOOKUP($C107,Intermediate!$C$2:$R$208,2,FALSE)=D107, "", IF(D107="x","+", "-"))</f>
        <v/>
      </c>
      <c r="U107" s="1" t="str">
        <f>IF(VLOOKUP($C107,Intermediate!$C$2:$R$208,3,FALSE)=E107, "", IF(E107="x","+", "-"))</f>
        <v/>
      </c>
      <c r="V107" s="1" t="str">
        <f>IF(VLOOKUP($C107,Intermediate!$C$2:$R$208,4,FALSE)=F107, "", IF(F107="x","+", "-"))</f>
        <v/>
      </c>
      <c r="W107" s="1" t="str">
        <f>IF(VLOOKUP($C107,Intermediate!$C$2:$R$208,5,FALSE)=G107, "", IF(G107="x","+", "-"))</f>
        <v/>
      </c>
      <c r="X107" s="1" t="str">
        <f>IF(VLOOKUP($C107,Intermediate!$C$2:$R$208,6,FALSE)=H107, "", IF(H107="x","+", "-"))</f>
        <v/>
      </c>
      <c r="Y107" s="1" t="str">
        <f>IF(VLOOKUP($C107,Intermediate!$C$2:$R$208,7,FALSE)=I107, "", IF(I107="x","+", "-"))</f>
        <v/>
      </c>
      <c r="Z107" s="1" t="str">
        <f>IF(VLOOKUP($C107,Intermediate!$C$2:$R$208,8,FALSE)=J107, "", IF(J107="x","+", "-"))</f>
        <v/>
      </c>
      <c r="AA107" s="1" t="str">
        <f>IF(VLOOKUP($C107,Intermediate!$C$2:$R$208,9,FALSE)=K107, "", IF(K107="x","+", "-"))</f>
        <v/>
      </c>
      <c r="AB107" s="1" t="str">
        <f>IF(VLOOKUP($C107,Intermediate!$C$2:$R$208,10,FALSE)=L107, "", IF(L107="x","+", "-"))</f>
        <v/>
      </c>
      <c r="AC107" s="1" t="str">
        <f>IF(VLOOKUP($C107,Intermediate!$C$2:$R$208,11,FALSE)=M107, "", IF(M107="x","+", "-"))</f>
        <v/>
      </c>
      <c r="AD107" s="1" t="str">
        <f>IF(VLOOKUP($C107,Intermediate!$C$2:$R$208,12,FALSE)=N107, "", IF(N107="x","+", "-"))</f>
        <v/>
      </c>
      <c r="AE107" s="1" t="str">
        <f>IF(VLOOKUP($C107,Intermediate!$C$2:$R$208,13,FALSE)=O107, "", IF(O107="x","+", "-"))</f>
        <v/>
      </c>
      <c r="AF107" s="1" t="str">
        <f>IF(VLOOKUP($C107,Intermediate!$C$2:$R$208,14,FALSE)=P107, "", IF(P107="x","+", "-"))</f>
        <v/>
      </c>
      <c r="AG107" s="1" t="str">
        <f>IF(VLOOKUP($C107,Intermediate!$C$2:$R$208,15,FALSE)=Q107, "", IF(Q107="x","+", "-"))</f>
        <v/>
      </c>
      <c r="AH107" s="1" t="str">
        <f>IF(VLOOKUP($C107,Intermediate!$C$2:$R$208,16,FALSE)=R107, "", IF(R107="x","+", "-"))</f>
        <v/>
      </c>
    </row>
    <row r="108" spans="1:34" ht="15" customHeight="1" x14ac:dyDescent="0.2">
      <c r="A108" s="8" t="s">
        <v>24</v>
      </c>
      <c r="B108" s="8" t="s">
        <v>25</v>
      </c>
      <c r="C108" s="9" t="str">
        <f t="shared" si="1"/>
        <v>UL Software Development and Product Management</v>
      </c>
      <c r="D108" s="5"/>
      <c r="E108" s="5"/>
      <c r="F108" s="5"/>
      <c r="G108" s="5"/>
      <c r="H108" s="5"/>
      <c r="I108" s="4" t="s">
        <v>19</v>
      </c>
      <c r="J108" s="5" t="s">
        <v>19</v>
      </c>
      <c r="K108" s="5"/>
      <c r="L108" s="5" t="s">
        <v>19</v>
      </c>
      <c r="M108" s="5" t="s">
        <v>19</v>
      </c>
      <c r="N108" s="4"/>
      <c r="O108" s="5"/>
      <c r="P108" s="4" t="s">
        <v>19</v>
      </c>
      <c r="Q108" s="5"/>
      <c r="R108" s="5"/>
      <c r="S108" s="1"/>
      <c r="T108" s="1" t="str">
        <f>IF(VLOOKUP($C108,Intermediate!$C$2:$R$208,2,FALSE)=D108, "", IF(D108="x","+", "-"))</f>
        <v/>
      </c>
      <c r="U108" s="1" t="str">
        <f>IF(VLOOKUP($C108,Intermediate!$C$2:$R$208,3,FALSE)=E108, "", IF(E108="x","+", "-"))</f>
        <v/>
      </c>
      <c r="V108" s="1" t="str">
        <f>IF(VLOOKUP($C108,Intermediate!$C$2:$R$208,4,FALSE)=F108, "", IF(F108="x","+", "-"))</f>
        <v/>
      </c>
      <c r="W108" s="1" t="str">
        <f>IF(VLOOKUP($C108,Intermediate!$C$2:$R$208,5,FALSE)=G108, "", IF(G108="x","+", "-"))</f>
        <v/>
      </c>
      <c r="X108" s="1" t="str">
        <f>IF(VLOOKUP($C108,Intermediate!$C$2:$R$208,6,FALSE)=H108, "", IF(H108="x","+", "-"))</f>
        <v/>
      </c>
      <c r="Y108" s="1" t="str">
        <f>IF(VLOOKUP($C108,Intermediate!$C$2:$R$208,7,FALSE)=I108, "", IF(I108="x","+", "-"))</f>
        <v/>
      </c>
      <c r="Z108" s="1" t="str">
        <f>IF(VLOOKUP($C108,Intermediate!$C$2:$R$208,8,FALSE)=J108, "", IF(J108="x","+", "-"))</f>
        <v/>
      </c>
      <c r="AA108" s="1" t="str">
        <f>IF(VLOOKUP($C108,Intermediate!$C$2:$R$208,9,FALSE)=K108, "", IF(K108="x","+", "-"))</f>
        <v/>
      </c>
      <c r="AB108" s="1" t="str">
        <f>IF(VLOOKUP($C108,Intermediate!$C$2:$R$208,10,FALSE)=L108, "", IF(L108="x","+", "-"))</f>
        <v/>
      </c>
      <c r="AC108" s="1" t="str">
        <f>IF(VLOOKUP($C108,Intermediate!$C$2:$R$208,11,FALSE)=M108, "", IF(M108="x","+", "-"))</f>
        <v/>
      </c>
      <c r="AD108" s="1" t="str">
        <f>IF(VLOOKUP($C108,Intermediate!$C$2:$R$208,12,FALSE)=N108, "", IF(N108="x","+", "-"))</f>
        <v/>
      </c>
      <c r="AE108" s="1" t="str">
        <f>IF(VLOOKUP($C108,Intermediate!$C$2:$R$208,13,FALSE)=O108, "", IF(O108="x","+", "-"))</f>
        <v/>
      </c>
      <c r="AF108" s="1" t="str">
        <f>IF(VLOOKUP($C108,Intermediate!$C$2:$R$208,14,FALSE)=P108, "", IF(P108="x","+", "-"))</f>
        <v/>
      </c>
      <c r="AG108" s="1" t="str">
        <f>IF(VLOOKUP($C108,Intermediate!$C$2:$R$208,15,FALSE)=Q108, "", IF(Q108="x","+", "-"))</f>
        <v/>
      </c>
      <c r="AH108" s="1" t="str">
        <f>IF(VLOOKUP($C108,Intermediate!$C$2:$R$208,16,FALSE)=R108, "", IF(R108="x","+", "-"))</f>
        <v/>
      </c>
    </row>
    <row r="109" spans="1:34" ht="15" customHeight="1" x14ac:dyDescent="0.2">
      <c r="A109" s="8" t="s">
        <v>91</v>
      </c>
      <c r="B109" s="8" t="s">
        <v>25</v>
      </c>
      <c r="C109" s="9" t="str">
        <f t="shared" si="1"/>
        <v>UL Software Verification</v>
      </c>
      <c r="D109" s="12"/>
      <c r="E109" s="5"/>
      <c r="F109" s="12"/>
      <c r="G109" s="5"/>
      <c r="H109" s="5"/>
      <c r="I109" s="12"/>
      <c r="J109" s="5"/>
      <c r="K109" s="5"/>
      <c r="L109" s="5"/>
      <c r="M109" s="12"/>
      <c r="N109" s="12"/>
      <c r="O109" s="5"/>
      <c r="P109" s="5"/>
      <c r="Q109" s="12" t="s">
        <v>19</v>
      </c>
      <c r="R109" s="5"/>
      <c r="S109" s="1"/>
      <c r="T109" s="1" t="str">
        <f>IF(VLOOKUP($C109,Intermediate!$C$2:$R$208,2,FALSE)=D109, "", IF(D109="x","+", "-"))</f>
        <v/>
      </c>
      <c r="U109" s="1" t="str">
        <f>IF(VLOOKUP($C109,Intermediate!$C$2:$R$208,3,FALSE)=E109, "", IF(E109="x","+", "-"))</f>
        <v/>
      </c>
      <c r="V109" s="1" t="str">
        <f>IF(VLOOKUP($C109,Intermediate!$C$2:$R$208,4,FALSE)=F109, "", IF(F109="x","+", "-"))</f>
        <v/>
      </c>
      <c r="W109" s="1" t="str">
        <f>IF(VLOOKUP($C109,Intermediate!$C$2:$R$208,5,FALSE)=G109, "", IF(G109="x","+", "-"))</f>
        <v/>
      </c>
      <c r="X109" s="1" t="str">
        <f>IF(VLOOKUP($C109,Intermediate!$C$2:$R$208,6,FALSE)=H109, "", IF(H109="x","+", "-"))</f>
        <v/>
      </c>
      <c r="Y109" s="1" t="str">
        <f>IF(VLOOKUP($C109,Intermediate!$C$2:$R$208,7,FALSE)=I109, "", IF(I109="x","+", "-"))</f>
        <v/>
      </c>
      <c r="Z109" s="1" t="str">
        <f>IF(VLOOKUP($C109,Intermediate!$C$2:$R$208,8,FALSE)=J109, "", IF(J109="x","+", "-"))</f>
        <v/>
      </c>
      <c r="AA109" s="1" t="str">
        <f>IF(VLOOKUP($C109,Intermediate!$C$2:$R$208,9,FALSE)=K109, "", IF(K109="x","+", "-"))</f>
        <v/>
      </c>
      <c r="AB109" s="1" t="str">
        <f>IF(VLOOKUP($C109,Intermediate!$C$2:$R$208,10,FALSE)=L109, "", IF(L109="x","+", "-"))</f>
        <v/>
      </c>
      <c r="AC109" s="1" t="str">
        <f>IF(VLOOKUP($C109,Intermediate!$C$2:$R$208,11,FALSE)=M109, "", IF(M109="x","+", "-"))</f>
        <v/>
      </c>
      <c r="AD109" s="1" t="str">
        <f>IF(VLOOKUP($C109,Intermediate!$C$2:$R$208,12,FALSE)=N109, "", IF(N109="x","+", "-"))</f>
        <v/>
      </c>
      <c r="AE109" s="1" t="str">
        <f>IF(VLOOKUP($C109,Intermediate!$C$2:$R$208,13,FALSE)=O109, "", IF(O109="x","+", "-"))</f>
        <v/>
      </c>
      <c r="AF109" s="1" t="str">
        <f>IF(VLOOKUP($C109,Intermediate!$C$2:$R$208,14,FALSE)=P109, "", IF(P109="x","+", "-"))</f>
        <v/>
      </c>
      <c r="AG109" s="1" t="str">
        <f>IF(VLOOKUP($C109,Intermediate!$C$2:$R$208,15,FALSE)=Q109, "", IF(Q109="x","+", "-"))</f>
        <v/>
      </c>
      <c r="AH109" s="1" t="str">
        <f>IF(VLOOKUP($C109,Intermediate!$C$2:$R$208,16,FALSE)=R109, "", IF(R109="x","+", "-"))</f>
        <v/>
      </c>
    </row>
    <row r="110" spans="1:34" ht="15" customHeight="1" x14ac:dyDescent="0.2">
      <c r="A110" s="8" t="s">
        <v>52</v>
      </c>
      <c r="B110" s="8" t="s">
        <v>25</v>
      </c>
      <c r="C110" s="9" t="str">
        <f t="shared" si="1"/>
        <v>UL System and Software Security</v>
      </c>
      <c r="D110" s="5"/>
      <c r="E110" s="12"/>
      <c r="F110" s="5"/>
      <c r="G110" s="5"/>
      <c r="H110" s="5" t="s">
        <v>19</v>
      </c>
      <c r="I110" s="5"/>
      <c r="J110" s="5"/>
      <c r="K110" s="5"/>
      <c r="L110" s="5"/>
      <c r="M110" s="5" t="s">
        <v>19</v>
      </c>
      <c r="N110" s="5"/>
      <c r="O110" s="5" t="s">
        <v>19</v>
      </c>
      <c r="P110" s="5"/>
      <c r="Q110" s="5" t="s">
        <v>19</v>
      </c>
      <c r="R110" s="5"/>
      <c r="S110" s="1"/>
      <c r="T110" s="1" t="str">
        <f>IF(VLOOKUP($C110,Intermediate!$C$2:$R$208,2,FALSE)=D110, "", IF(D110="x","+", "-"))</f>
        <v/>
      </c>
      <c r="U110" s="1" t="str">
        <f>IF(VLOOKUP($C110,Intermediate!$C$2:$R$208,3,FALSE)=E110, "", IF(E110="x","+", "-"))</f>
        <v/>
      </c>
      <c r="V110" s="1" t="str">
        <f>IF(VLOOKUP($C110,Intermediate!$C$2:$R$208,4,FALSE)=F110, "", IF(F110="x","+", "-"))</f>
        <v/>
      </c>
      <c r="W110" s="1" t="str">
        <f>IF(VLOOKUP($C110,Intermediate!$C$2:$R$208,5,FALSE)=G110, "", IF(G110="x","+", "-"))</f>
        <v/>
      </c>
      <c r="X110" s="1" t="str">
        <f>IF(VLOOKUP($C110,Intermediate!$C$2:$R$208,6,FALSE)=H110, "", IF(H110="x","+", "-"))</f>
        <v/>
      </c>
      <c r="Y110" s="1" t="str">
        <f>IF(VLOOKUP($C110,Intermediate!$C$2:$R$208,7,FALSE)=I110, "", IF(I110="x","+", "-"))</f>
        <v/>
      </c>
      <c r="Z110" s="1" t="str">
        <f>IF(VLOOKUP($C110,Intermediate!$C$2:$R$208,8,FALSE)=J110, "", IF(J110="x","+", "-"))</f>
        <v/>
      </c>
      <c r="AA110" s="1" t="str">
        <f>IF(VLOOKUP($C110,Intermediate!$C$2:$R$208,9,FALSE)=K110, "", IF(K110="x","+", "-"))</f>
        <v/>
      </c>
      <c r="AB110" s="1" t="str">
        <f>IF(VLOOKUP($C110,Intermediate!$C$2:$R$208,10,FALSE)=L110, "", IF(L110="x","+", "-"))</f>
        <v/>
      </c>
      <c r="AC110" s="1" t="str">
        <f>IF(VLOOKUP($C110,Intermediate!$C$2:$R$208,11,FALSE)=M110, "", IF(M110="x","+", "-"))</f>
        <v/>
      </c>
      <c r="AD110" s="1" t="str">
        <f>IF(VLOOKUP($C110,Intermediate!$C$2:$R$208,12,FALSE)=N110, "", IF(N110="x","+", "-"))</f>
        <v/>
      </c>
      <c r="AE110" s="1" t="str">
        <f>IF(VLOOKUP($C110,Intermediate!$C$2:$R$208,13,FALSE)=O110, "", IF(O110="x","+", "-"))</f>
        <v/>
      </c>
      <c r="AF110" s="1" t="str">
        <f>IF(VLOOKUP($C110,Intermediate!$C$2:$R$208,14,FALSE)=P110, "", IF(P110="x","+", "-"))</f>
        <v/>
      </c>
      <c r="AG110" s="1" t="str">
        <f>IF(VLOOKUP($C110,Intermediate!$C$2:$R$208,15,FALSE)=Q110, "", IF(Q110="x","+", "-"))</f>
        <v/>
      </c>
      <c r="AH110" s="1" t="str">
        <f>IF(VLOOKUP($C110,Intermediate!$C$2:$R$208,16,FALSE)=R110, "", IF(R110="x","+", "-"))</f>
        <v/>
      </c>
    </row>
    <row r="111" spans="1:34" ht="15" customHeight="1" x14ac:dyDescent="0.2">
      <c r="A111" s="8" t="s">
        <v>139</v>
      </c>
      <c r="B111" s="8" t="s">
        <v>25</v>
      </c>
      <c r="C111" s="9" t="str">
        <f t="shared" si="1"/>
        <v>UL Systems Development</v>
      </c>
      <c r="D111" s="5" t="s">
        <v>19</v>
      </c>
      <c r="E111" s="4" t="s">
        <v>19</v>
      </c>
      <c r="F111" s="5" t="s">
        <v>19</v>
      </c>
      <c r="G111" s="5"/>
      <c r="H111" s="5"/>
      <c r="I111" s="5"/>
      <c r="J111" s="5"/>
      <c r="K111" s="5"/>
      <c r="L111" s="5"/>
      <c r="M111" s="5"/>
      <c r="N111" s="5"/>
      <c r="O111" s="12"/>
      <c r="P111" s="5"/>
      <c r="Q111" s="5"/>
      <c r="R111" s="5"/>
      <c r="S111" s="1"/>
      <c r="T111" s="1" t="str">
        <f>IF(VLOOKUP($C111,Intermediate!$C$2:$R$208,2,FALSE)=D111, "", IF(D111="x","+", "-"))</f>
        <v/>
      </c>
      <c r="U111" s="1" t="str">
        <f>IF(VLOOKUP($C111,Intermediate!$C$2:$R$208,3,FALSE)=E111, "", IF(E111="x","+", "-"))</f>
        <v/>
      </c>
      <c r="V111" s="1" t="str">
        <f>IF(VLOOKUP($C111,Intermediate!$C$2:$R$208,4,FALSE)=F111, "", IF(F111="x","+", "-"))</f>
        <v/>
      </c>
      <c r="W111" s="1" t="str">
        <f>IF(VLOOKUP($C111,Intermediate!$C$2:$R$208,5,FALSE)=G111, "", IF(G111="x","+", "-"))</f>
        <v/>
      </c>
      <c r="X111" s="1" t="str">
        <f>IF(VLOOKUP($C111,Intermediate!$C$2:$R$208,6,FALSE)=H111, "", IF(H111="x","+", "-"))</f>
        <v/>
      </c>
      <c r="Y111" s="1" t="str">
        <f>IF(VLOOKUP($C111,Intermediate!$C$2:$R$208,7,FALSE)=I111, "", IF(I111="x","+", "-"))</f>
        <v/>
      </c>
      <c r="Z111" s="1" t="str">
        <f>IF(VLOOKUP($C111,Intermediate!$C$2:$R$208,8,FALSE)=J111, "", IF(J111="x","+", "-"))</f>
        <v/>
      </c>
      <c r="AA111" s="1" t="str">
        <f>IF(VLOOKUP($C111,Intermediate!$C$2:$R$208,9,FALSE)=K111, "", IF(K111="x","+", "-"))</f>
        <v/>
      </c>
      <c r="AB111" s="1" t="str">
        <f>IF(VLOOKUP($C111,Intermediate!$C$2:$R$208,10,FALSE)=L111, "", IF(L111="x","+", "-"))</f>
        <v/>
      </c>
      <c r="AC111" s="1" t="str">
        <f>IF(VLOOKUP($C111,Intermediate!$C$2:$R$208,11,FALSE)=M111, "", IF(M111="x","+", "-"))</f>
        <v/>
      </c>
      <c r="AD111" s="1" t="str">
        <f>IF(VLOOKUP($C111,Intermediate!$C$2:$R$208,12,FALSE)=N111, "", IF(N111="x","+", "-"))</f>
        <v/>
      </c>
      <c r="AE111" s="1" t="str">
        <f>IF(VLOOKUP($C111,Intermediate!$C$2:$R$208,13,FALSE)=O111, "", IF(O111="x","+", "-"))</f>
        <v/>
      </c>
      <c r="AF111" s="1" t="str">
        <f>IF(VLOOKUP($C111,Intermediate!$C$2:$R$208,14,FALSE)=P111, "", IF(P111="x","+", "-"))</f>
        <v/>
      </c>
      <c r="AG111" s="1" t="str">
        <f>IF(VLOOKUP($C111,Intermediate!$C$2:$R$208,15,FALSE)=Q111, "", IF(Q111="x","+", "-"))</f>
        <v/>
      </c>
      <c r="AH111" s="1" t="str">
        <f>IF(VLOOKUP($C111,Intermediate!$C$2:$R$208,16,FALSE)=R111, "", IF(R111="x","+", "-"))</f>
        <v/>
      </c>
    </row>
    <row r="112" spans="1:34" ht="15" customHeight="1" x14ac:dyDescent="0.2">
      <c r="A112" s="8" t="s">
        <v>140</v>
      </c>
      <c r="B112" s="8" t="s">
        <v>34</v>
      </c>
      <c r="C112" s="9" t="str">
        <f t="shared" si="1"/>
        <v>UT M1 Pearls of Computer Science</v>
      </c>
      <c r="D112" s="5" t="s">
        <v>19</v>
      </c>
      <c r="E112" s="5"/>
      <c r="F112" s="5"/>
      <c r="G112" s="5" t="s">
        <v>19</v>
      </c>
      <c r="H112" s="5"/>
      <c r="I112" s="5"/>
      <c r="J112" s="5"/>
      <c r="K112" s="5"/>
      <c r="L112" s="5"/>
      <c r="M112" s="5"/>
      <c r="N112" s="5"/>
      <c r="O112" s="4"/>
      <c r="P112" s="5"/>
      <c r="Q112" s="5"/>
      <c r="R112" s="5"/>
      <c r="S112" s="1"/>
      <c r="T112" s="1" t="str">
        <f>IF(VLOOKUP($C112,Intermediate!$C$2:$R$208,2,FALSE)=D112, "", IF(D112="x","+", "-"))</f>
        <v/>
      </c>
      <c r="U112" s="1" t="str">
        <f>IF(VLOOKUP($C112,Intermediate!$C$2:$R$208,3,FALSE)=E112, "", IF(E112="x","+", "-"))</f>
        <v/>
      </c>
      <c r="V112" s="1" t="str">
        <f>IF(VLOOKUP($C112,Intermediate!$C$2:$R$208,4,FALSE)=F112, "", IF(F112="x","+", "-"))</f>
        <v/>
      </c>
      <c r="W112" s="1" t="str">
        <f>IF(VLOOKUP($C112,Intermediate!$C$2:$R$208,5,FALSE)=G112, "", IF(G112="x","+", "-"))</f>
        <v/>
      </c>
      <c r="X112" s="1" t="str">
        <f>IF(VLOOKUP($C112,Intermediate!$C$2:$R$208,6,FALSE)=H112, "", IF(H112="x","+", "-"))</f>
        <v/>
      </c>
      <c r="Y112" s="1" t="str">
        <f>IF(VLOOKUP($C112,Intermediate!$C$2:$R$208,7,FALSE)=I112, "", IF(I112="x","+", "-"))</f>
        <v/>
      </c>
      <c r="Z112" s="1" t="str">
        <f>IF(VLOOKUP($C112,Intermediate!$C$2:$R$208,8,FALSE)=J112, "", IF(J112="x","+", "-"))</f>
        <v/>
      </c>
      <c r="AA112" s="1" t="str">
        <f>IF(VLOOKUP($C112,Intermediate!$C$2:$R$208,9,FALSE)=K112, "", IF(K112="x","+", "-"))</f>
        <v/>
      </c>
      <c r="AB112" s="1" t="str">
        <f>IF(VLOOKUP($C112,Intermediate!$C$2:$R$208,10,FALSE)=L112, "", IF(L112="x","+", "-"))</f>
        <v/>
      </c>
      <c r="AC112" s="1" t="str">
        <f>IF(VLOOKUP($C112,Intermediate!$C$2:$R$208,11,FALSE)=M112, "", IF(M112="x","+", "-"))</f>
        <v/>
      </c>
      <c r="AD112" s="1" t="str">
        <f>IF(VLOOKUP($C112,Intermediate!$C$2:$R$208,12,FALSE)=N112, "", IF(N112="x","+", "-"))</f>
        <v/>
      </c>
      <c r="AE112" s="1" t="str">
        <f>IF(VLOOKUP($C112,Intermediate!$C$2:$R$208,13,FALSE)=O112, "", IF(O112="x","+", "-"))</f>
        <v/>
      </c>
      <c r="AF112" s="1" t="str">
        <f>IF(VLOOKUP($C112,Intermediate!$C$2:$R$208,14,FALSE)=P112, "", IF(P112="x","+", "-"))</f>
        <v/>
      </c>
      <c r="AG112" s="1" t="str">
        <f>IF(VLOOKUP($C112,Intermediate!$C$2:$R$208,15,FALSE)=Q112, "", IF(Q112="x","+", "-"))</f>
        <v/>
      </c>
      <c r="AH112" s="1" t="str">
        <f>IF(VLOOKUP($C112,Intermediate!$C$2:$R$208,16,FALSE)=R112, "", IF(R112="x","+", "-"))</f>
        <v/>
      </c>
    </row>
    <row r="113" spans="1:34" ht="15" customHeight="1" x14ac:dyDescent="0.2">
      <c r="A113" s="8" t="s">
        <v>141</v>
      </c>
      <c r="B113" s="8" t="s">
        <v>34</v>
      </c>
      <c r="C113" s="9" t="str">
        <f t="shared" si="1"/>
        <v>UT M11 Design Project</v>
      </c>
      <c r="D113" s="5"/>
      <c r="E113" s="5"/>
      <c r="F113" s="5"/>
      <c r="G113" s="5"/>
      <c r="H113" s="5"/>
      <c r="I113" s="12"/>
      <c r="J113" s="5"/>
      <c r="K113" s="12"/>
      <c r="L113" s="5"/>
      <c r="M113" s="5"/>
      <c r="N113" s="5"/>
      <c r="O113" s="5"/>
      <c r="P113" s="5"/>
      <c r="Q113" s="5"/>
      <c r="R113" s="5"/>
      <c r="S113" s="1"/>
      <c r="T113" s="1" t="str">
        <f>IF(VLOOKUP($C113,Intermediate!$C$2:$R$208,2,FALSE)=D113, "", IF(D113="x","+", "-"))</f>
        <v/>
      </c>
      <c r="U113" s="1" t="str">
        <f>IF(VLOOKUP($C113,Intermediate!$C$2:$R$208,3,FALSE)=E113, "", IF(E113="x","+", "-"))</f>
        <v/>
      </c>
      <c r="V113" s="1" t="str">
        <f>IF(VLOOKUP($C113,Intermediate!$C$2:$R$208,4,FALSE)=F113, "", IF(F113="x","+", "-"))</f>
        <v/>
      </c>
      <c r="W113" s="1" t="str">
        <f>IF(VLOOKUP($C113,Intermediate!$C$2:$R$208,5,FALSE)=G113, "", IF(G113="x","+", "-"))</f>
        <v/>
      </c>
      <c r="X113" s="1" t="str">
        <f>IF(VLOOKUP($C113,Intermediate!$C$2:$R$208,6,FALSE)=H113, "", IF(H113="x","+", "-"))</f>
        <v/>
      </c>
      <c r="Y113" s="1" t="str">
        <f>IF(VLOOKUP($C113,Intermediate!$C$2:$R$208,7,FALSE)=I113, "", IF(I113="x","+", "-"))</f>
        <v/>
      </c>
      <c r="Z113" s="1" t="str">
        <f>IF(VLOOKUP($C113,Intermediate!$C$2:$R$208,8,FALSE)=J113, "", IF(J113="x","+", "-"))</f>
        <v/>
      </c>
      <c r="AA113" s="1" t="str">
        <f>IF(VLOOKUP($C113,Intermediate!$C$2:$R$208,9,FALSE)=K113, "", IF(K113="x","+", "-"))</f>
        <v/>
      </c>
      <c r="AB113" s="1" t="str">
        <f>IF(VLOOKUP($C113,Intermediate!$C$2:$R$208,10,FALSE)=L113, "", IF(L113="x","+", "-"))</f>
        <v/>
      </c>
      <c r="AC113" s="1" t="str">
        <f>IF(VLOOKUP($C113,Intermediate!$C$2:$R$208,11,FALSE)=M113, "", IF(M113="x","+", "-"))</f>
        <v/>
      </c>
      <c r="AD113" s="1" t="str">
        <f>IF(VLOOKUP($C113,Intermediate!$C$2:$R$208,12,FALSE)=N113, "", IF(N113="x","+", "-"))</f>
        <v/>
      </c>
      <c r="AE113" s="1" t="str">
        <f>IF(VLOOKUP($C113,Intermediate!$C$2:$R$208,13,FALSE)=O113, "", IF(O113="x","+", "-"))</f>
        <v/>
      </c>
      <c r="AF113" s="1" t="str">
        <f>IF(VLOOKUP($C113,Intermediate!$C$2:$R$208,14,FALSE)=P113, "", IF(P113="x","+", "-"))</f>
        <v/>
      </c>
      <c r="AG113" s="1" t="str">
        <f>IF(VLOOKUP($C113,Intermediate!$C$2:$R$208,15,FALSE)=Q113, "", IF(Q113="x","+", "-"))</f>
        <v/>
      </c>
      <c r="AH113" s="1" t="str">
        <f>IF(VLOOKUP($C113,Intermediate!$C$2:$R$208,16,FALSE)=R113, "", IF(R113="x","+", "-"))</f>
        <v/>
      </c>
    </row>
    <row r="114" spans="1:34" ht="15" customHeight="1" x14ac:dyDescent="0.2">
      <c r="A114" s="8" t="s">
        <v>167</v>
      </c>
      <c r="B114" s="8" t="s">
        <v>34</v>
      </c>
      <c r="C114" s="9" t="str">
        <f t="shared" si="1"/>
        <v>UT M2 Software Systems</v>
      </c>
      <c r="D114" s="4"/>
      <c r="E114" s="5"/>
      <c r="F114" s="5" t="s">
        <v>19</v>
      </c>
      <c r="G114" s="5" t="s">
        <v>19</v>
      </c>
      <c r="H114" s="5" t="s">
        <v>19</v>
      </c>
      <c r="I114" s="5"/>
      <c r="J114" s="5"/>
      <c r="K114" s="5"/>
      <c r="L114" s="5"/>
      <c r="M114" s="5"/>
      <c r="N114" s="5" t="s">
        <v>19</v>
      </c>
      <c r="O114" s="15"/>
      <c r="P114" s="5"/>
      <c r="Q114" s="5"/>
      <c r="R114" s="5"/>
      <c r="S114" s="1"/>
      <c r="T114" s="1" t="str">
        <f>IF(VLOOKUP($C114,Intermediate!$C$2:$R$208,2,FALSE)=D114, "", IF(D114="x","+", "-"))</f>
        <v/>
      </c>
      <c r="U114" s="1" t="str">
        <f>IF(VLOOKUP($C114,Intermediate!$C$2:$R$208,3,FALSE)=E114, "", IF(E114="x","+", "-"))</f>
        <v/>
      </c>
      <c r="V114" s="1" t="str">
        <f>IF(VLOOKUP($C114,Intermediate!$C$2:$R$208,4,FALSE)=F114, "", IF(F114="x","+", "-"))</f>
        <v/>
      </c>
      <c r="W114" s="1" t="str">
        <f>IF(VLOOKUP($C114,Intermediate!$C$2:$R$208,5,FALSE)=G114, "", IF(G114="x","+", "-"))</f>
        <v/>
      </c>
      <c r="X114" s="1" t="str">
        <f>IF(VLOOKUP($C114,Intermediate!$C$2:$R$208,6,FALSE)=H114, "", IF(H114="x","+", "-"))</f>
        <v/>
      </c>
      <c r="Y114" s="1" t="str">
        <f>IF(VLOOKUP($C114,Intermediate!$C$2:$R$208,7,FALSE)=I114, "", IF(I114="x","+", "-"))</f>
        <v/>
      </c>
      <c r="Z114" s="1" t="str">
        <f>IF(VLOOKUP($C114,Intermediate!$C$2:$R$208,8,FALSE)=J114, "", IF(J114="x","+", "-"))</f>
        <v/>
      </c>
      <c r="AA114" s="1" t="str">
        <f>IF(VLOOKUP($C114,Intermediate!$C$2:$R$208,9,FALSE)=K114, "", IF(K114="x","+", "-"))</f>
        <v/>
      </c>
      <c r="AB114" s="1" t="str">
        <f>IF(VLOOKUP($C114,Intermediate!$C$2:$R$208,10,FALSE)=L114, "", IF(L114="x","+", "-"))</f>
        <v/>
      </c>
      <c r="AC114" s="1" t="str">
        <f>IF(VLOOKUP($C114,Intermediate!$C$2:$R$208,11,FALSE)=M114, "", IF(M114="x","+", "-"))</f>
        <v/>
      </c>
      <c r="AD114" s="1" t="str">
        <f>IF(VLOOKUP($C114,Intermediate!$C$2:$R$208,12,FALSE)=N114, "", IF(N114="x","+", "-"))</f>
        <v/>
      </c>
      <c r="AE114" s="1" t="str">
        <f>IF(VLOOKUP($C114,Intermediate!$C$2:$R$208,13,FALSE)=O114, "", IF(O114="x","+", "-"))</f>
        <v/>
      </c>
      <c r="AF114" s="1" t="str">
        <f>IF(VLOOKUP($C114,Intermediate!$C$2:$R$208,14,FALSE)=P114, "", IF(P114="x","+", "-"))</f>
        <v/>
      </c>
      <c r="AG114" s="1" t="str">
        <f>IF(VLOOKUP($C114,Intermediate!$C$2:$R$208,15,FALSE)=Q114, "", IF(Q114="x","+", "-"))</f>
        <v/>
      </c>
      <c r="AH114" s="1" t="str">
        <f>IF(VLOOKUP($C114,Intermediate!$C$2:$R$208,16,FALSE)=R114, "", IF(R114="x","+", "-"))</f>
        <v/>
      </c>
    </row>
    <row r="115" spans="1:34" ht="15" customHeight="1" x14ac:dyDescent="0.2">
      <c r="A115" s="8" t="s">
        <v>142</v>
      </c>
      <c r="B115" s="8" t="s">
        <v>34</v>
      </c>
      <c r="C115" s="9" t="str">
        <f t="shared" si="1"/>
        <v>UT M4 Data &amp; Information</v>
      </c>
      <c r="D115" s="5" t="s">
        <v>19</v>
      </c>
      <c r="E115" s="5"/>
      <c r="F115" s="5"/>
      <c r="G115" s="5" t="s">
        <v>19</v>
      </c>
      <c r="H115" s="5"/>
      <c r="I115" s="5"/>
      <c r="J115" s="5"/>
      <c r="K115" s="5"/>
      <c r="L115" s="5"/>
      <c r="M115" s="5"/>
      <c r="N115" s="5"/>
      <c r="O115" s="4"/>
      <c r="P115" s="5"/>
      <c r="Q115" s="5"/>
      <c r="R115" s="5"/>
      <c r="S115" s="1"/>
      <c r="T115" s="1" t="str">
        <f>IF(VLOOKUP($C115,Intermediate!$C$2:$R$208,2,FALSE)=D115, "", IF(D115="x","+", "-"))</f>
        <v/>
      </c>
      <c r="U115" s="1" t="str">
        <f>IF(VLOOKUP($C115,Intermediate!$C$2:$R$208,3,FALSE)=E115, "", IF(E115="x","+", "-"))</f>
        <v/>
      </c>
      <c r="V115" s="1" t="str">
        <f>IF(VLOOKUP($C115,Intermediate!$C$2:$R$208,4,FALSE)=F115, "", IF(F115="x","+", "-"))</f>
        <v/>
      </c>
      <c r="W115" s="1" t="str">
        <f>IF(VLOOKUP($C115,Intermediate!$C$2:$R$208,5,FALSE)=G115, "", IF(G115="x","+", "-"))</f>
        <v/>
      </c>
      <c r="X115" s="1" t="str">
        <f>IF(VLOOKUP($C115,Intermediate!$C$2:$R$208,6,FALSE)=H115, "", IF(H115="x","+", "-"))</f>
        <v/>
      </c>
      <c r="Y115" s="1" t="str">
        <f>IF(VLOOKUP($C115,Intermediate!$C$2:$R$208,7,FALSE)=I115, "", IF(I115="x","+", "-"))</f>
        <v/>
      </c>
      <c r="Z115" s="1" t="str">
        <f>IF(VLOOKUP($C115,Intermediate!$C$2:$R$208,8,FALSE)=J115, "", IF(J115="x","+", "-"))</f>
        <v/>
      </c>
      <c r="AA115" s="1" t="str">
        <f>IF(VLOOKUP($C115,Intermediate!$C$2:$R$208,9,FALSE)=K115, "", IF(K115="x","+", "-"))</f>
        <v/>
      </c>
      <c r="AB115" s="1" t="str">
        <f>IF(VLOOKUP($C115,Intermediate!$C$2:$R$208,10,FALSE)=L115, "", IF(L115="x","+", "-"))</f>
        <v/>
      </c>
      <c r="AC115" s="1" t="str">
        <f>IF(VLOOKUP($C115,Intermediate!$C$2:$R$208,11,FALSE)=M115, "", IF(M115="x","+", "-"))</f>
        <v/>
      </c>
      <c r="AD115" s="1" t="str">
        <f>IF(VLOOKUP($C115,Intermediate!$C$2:$R$208,12,FALSE)=N115, "", IF(N115="x","+", "-"))</f>
        <v/>
      </c>
      <c r="AE115" s="1" t="str">
        <f>IF(VLOOKUP($C115,Intermediate!$C$2:$R$208,13,FALSE)=O115, "", IF(O115="x","+", "-"))</f>
        <v/>
      </c>
      <c r="AF115" s="1" t="str">
        <f>IF(VLOOKUP($C115,Intermediate!$C$2:$R$208,14,FALSE)=P115, "", IF(P115="x","+", "-"))</f>
        <v/>
      </c>
      <c r="AG115" s="1" t="str">
        <f>IF(VLOOKUP($C115,Intermediate!$C$2:$R$208,15,FALSE)=Q115, "", IF(Q115="x","+", "-"))</f>
        <v/>
      </c>
      <c r="AH115" s="1" t="str">
        <f>IF(VLOOKUP($C115,Intermediate!$C$2:$R$208,16,FALSE)=R115, "", IF(R115="x","+", "-"))</f>
        <v/>
      </c>
    </row>
    <row r="116" spans="1:34" ht="15" customHeight="1" x14ac:dyDescent="0.2">
      <c r="A116" s="8" t="s">
        <v>143</v>
      </c>
      <c r="B116" s="8" t="s">
        <v>34</v>
      </c>
      <c r="C116" s="9" t="str">
        <f t="shared" si="1"/>
        <v>UT M8 Programming Paradigms</v>
      </c>
      <c r="D116" s="5"/>
      <c r="E116" s="5"/>
      <c r="F116" s="5"/>
      <c r="G116" s="5" t="s">
        <v>19</v>
      </c>
      <c r="H116" s="5"/>
      <c r="I116" s="5"/>
      <c r="J116" s="12"/>
      <c r="K116" s="5"/>
      <c r="L116" s="12"/>
      <c r="M116" s="5"/>
      <c r="N116" s="5"/>
      <c r="O116" s="5"/>
      <c r="P116" s="5"/>
      <c r="Q116" s="5"/>
      <c r="R116" s="5" t="s">
        <v>19</v>
      </c>
      <c r="S116" s="1"/>
      <c r="T116" s="1" t="str">
        <f>IF(VLOOKUP($C116,Intermediate!$C$2:$R$208,2,FALSE)=D116, "", IF(D116="x","+", "-"))</f>
        <v/>
      </c>
      <c r="U116" s="1" t="str">
        <f>IF(VLOOKUP($C116,Intermediate!$C$2:$R$208,3,FALSE)=E116, "", IF(E116="x","+", "-"))</f>
        <v/>
      </c>
      <c r="V116" s="1" t="str">
        <f>IF(VLOOKUP($C116,Intermediate!$C$2:$R$208,4,FALSE)=F116, "", IF(F116="x","+", "-"))</f>
        <v/>
      </c>
      <c r="W116" s="1" t="str">
        <f>IF(VLOOKUP($C116,Intermediate!$C$2:$R$208,5,FALSE)=G116, "", IF(G116="x","+", "-"))</f>
        <v/>
      </c>
      <c r="X116" s="1" t="str">
        <f>IF(VLOOKUP($C116,Intermediate!$C$2:$R$208,6,FALSE)=H116, "", IF(H116="x","+", "-"))</f>
        <v/>
      </c>
      <c r="Y116" s="1" t="str">
        <f>IF(VLOOKUP($C116,Intermediate!$C$2:$R$208,7,FALSE)=I116, "", IF(I116="x","+", "-"))</f>
        <v/>
      </c>
      <c r="Z116" s="1" t="str">
        <f>IF(VLOOKUP($C116,Intermediate!$C$2:$R$208,8,FALSE)=J116, "", IF(J116="x","+", "-"))</f>
        <v/>
      </c>
      <c r="AA116" s="1" t="str">
        <f>IF(VLOOKUP($C116,Intermediate!$C$2:$R$208,9,FALSE)=K116, "", IF(K116="x","+", "-"))</f>
        <v/>
      </c>
      <c r="AB116" s="1" t="str">
        <f>IF(VLOOKUP($C116,Intermediate!$C$2:$R$208,10,FALSE)=L116, "", IF(L116="x","+", "-"))</f>
        <v/>
      </c>
      <c r="AC116" s="1" t="str">
        <f>IF(VLOOKUP($C116,Intermediate!$C$2:$R$208,11,FALSE)=M116, "", IF(M116="x","+", "-"))</f>
        <v/>
      </c>
      <c r="AD116" s="1" t="str">
        <f>IF(VLOOKUP($C116,Intermediate!$C$2:$R$208,12,FALSE)=N116, "", IF(N116="x","+", "-"))</f>
        <v/>
      </c>
      <c r="AE116" s="1" t="str">
        <f>IF(VLOOKUP($C116,Intermediate!$C$2:$R$208,13,FALSE)=O116, "", IF(O116="x","+", "-"))</f>
        <v/>
      </c>
      <c r="AF116" s="1" t="str">
        <f>IF(VLOOKUP($C116,Intermediate!$C$2:$R$208,14,FALSE)=P116, "", IF(P116="x","+", "-"))</f>
        <v/>
      </c>
      <c r="AG116" s="1" t="str">
        <f>IF(VLOOKUP($C116,Intermediate!$C$2:$R$208,15,FALSE)=Q116, "", IF(Q116="x","+", "-"))</f>
        <v/>
      </c>
      <c r="AH116" s="1" t="str">
        <f>IF(VLOOKUP($C116,Intermediate!$C$2:$R$208,16,FALSE)=R116, "", IF(R116="x","+", "-"))</f>
        <v/>
      </c>
    </row>
    <row r="117" spans="1:34" ht="15" customHeight="1" x14ac:dyDescent="0.2">
      <c r="A117" s="8" t="s">
        <v>54</v>
      </c>
      <c r="B117" s="8" t="s">
        <v>34</v>
      </c>
      <c r="C117" s="9" t="str">
        <f t="shared" si="1"/>
        <v>UT Architectures of IS</v>
      </c>
      <c r="D117" s="12"/>
      <c r="E117" s="5" t="s">
        <v>19</v>
      </c>
      <c r="F117" s="5"/>
      <c r="G117" s="5"/>
      <c r="H117" s="5"/>
      <c r="I117" s="5"/>
      <c r="J117" s="4" t="s">
        <v>19</v>
      </c>
      <c r="K117" s="5"/>
      <c r="L117" s="4" t="s">
        <v>19</v>
      </c>
      <c r="M117" s="12"/>
      <c r="N117" s="5"/>
      <c r="O117" s="5"/>
      <c r="P117" s="5"/>
      <c r="Q117" s="5"/>
      <c r="R117" s="5"/>
      <c r="S117" s="7"/>
      <c r="T117" s="1" t="str">
        <f>IF(VLOOKUP($C117,Intermediate!$C$2:$R$208,2,FALSE)=D117, "", IF(D117="x","+", "-"))</f>
        <v/>
      </c>
      <c r="U117" s="1" t="str">
        <f>IF(VLOOKUP($C117,Intermediate!$C$2:$R$208,3,FALSE)=E117, "", IF(E117="x","+", "-"))</f>
        <v/>
      </c>
      <c r="V117" s="1" t="str">
        <f>IF(VLOOKUP($C117,Intermediate!$C$2:$R$208,4,FALSE)=F117, "", IF(F117="x","+", "-"))</f>
        <v/>
      </c>
      <c r="W117" s="1" t="str">
        <f>IF(VLOOKUP($C117,Intermediate!$C$2:$R$208,5,FALSE)=G117, "", IF(G117="x","+", "-"))</f>
        <v/>
      </c>
      <c r="X117" s="1" t="str">
        <f>IF(VLOOKUP($C117,Intermediate!$C$2:$R$208,6,FALSE)=H117, "", IF(H117="x","+", "-"))</f>
        <v/>
      </c>
      <c r="Y117" s="1" t="str">
        <f>IF(VLOOKUP($C117,Intermediate!$C$2:$R$208,7,FALSE)=I117, "", IF(I117="x","+", "-"))</f>
        <v/>
      </c>
      <c r="Z117" s="1" t="str">
        <f>IF(VLOOKUP($C117,Intermediate!$C$2:$R$208,8,FALSE)=J117, "", IF(J117="x","+", "-"))</f>
        <v/>
      </c>
      <c r="AA117" s="1" t="str">
        <f>IF(VLOOKUP($C117,Intermediate!$C$2:$R$208,9,FALSE)=K117, "", IF(K117="x","+", "-"))</f>
        <v/>
      </c>
      <c r="AB117" s="1" t="str">
        <f>IF(VLOOKUP($C117,Intermediate!$C$2:$R$208,10,FALSE)=L117, "", IF(L117="x","+", "-"))</f>
        <v/>
      </c>
      <c r="AC117" s="1" t="str">
        <f>IF(VLOOKUP($C117,Intermediate!$C$2:$R$208,11,FALSE)=M117, "", IF(M117="x","+", "-"))</f>
        <v/>
      </c>
      <c r="AD117" s="1" t="str">
        <f>IF(VLOOKUP($C117,Intermediate!$C$2:$R$208,12,FALSE)=N117, "", IF(N117="x","+", "-"))</f>
        <v/>
      </c>
      <c r="AE117" s="1" t="str">
        <f>IF(VLOOKUP($C117,Intermediate!$C$2:$R$208,13,FALSE)=O117, "", IF(O117="x","+", "-"))</f>
        <v/>
      </c>
      <c r="AF117" s="1" t="str">
        <f>IF(VLOOKUP($C117,Intermediate!$C$2:$R$208,14,FALSE)=P117, "", IF(P117="x","+", "-"))</f>
        <v/>
      </c>
      <c r="AG117" s="1" t="str">
        <f>IF(VLOOKUP($C117,Intermediate!$C$2:$R$208,15,FALSE)=Q117, "", IF(Q117="x","+", "-"))</f>
        <v/>
      </c>
      <c r="AH117" s="1" t="str">
        <f>IF(VLOOKUP($C117,Intermediate!$C$2:$R$208,16,FALSE)=R117, "", IF(R117="x","+", "-"))</f>
        <v/>
      </c>
    </row>
    <row r="118" spans="1:34" ht="15" customHeight="1" x14ac:dyDescent="0.2">
      <c r="A118" s="8" t="s">
        <v>144</v>
      </c>
      <c r="B118" s="8" t="s">
        <v>34</v>
      </c>
      <c r="C118" s="9" t="str">
        <f t="shared" si="1"/>
        <v>UT Design of Software Architectures</v>
      </c>
      <c r="D118" s="4"/>
      <c r="E118" s="5" t="s">
        <v>19</v>
      </c>
      <c r="F118" s="5" t="s">
        <v>19</v>
      </c>
      <c r="G118" s="5"/>
      <c r="H118" s="5"/>
      <c r="I118" s="5"/>
      <c r="J118" s="5"/>
      <c r="K118" s="5"/>
      <c r="L118" s="5"/>
      <c r="M118" s="4"/>
      <c r="N118" s="5"/>
      <c r="O118" s="5"/>
      <c r="P118" s="5"/>
      <c r="Q118" s="5"/>
      <c r="R118" s="5"/>
      <c r="S118" s="1"/>
      <c r="T118" s="1" t="str">
        <f>IF(VLOOKUP($C118,Intermediate!$C$2:$R$208,2,FALSE)=D118, "", IF(D118="x","+", "-"))</f>
        <v/>
      </c>
      <c r="U118" s="1" t="str">
        <f>IF(VLOOKUP($C118,Intermediate!$C$2:$R$208,3,FALSE)=E118, "", IF(E118="x","+", "-"))</f>
        <v/>
      </c>
      <c r="V118" s="1" t="str">
        <f>IF(VLOOKUP($C118,Intermediate!$C$2:$R$208,4,FALSE)=F118, "", IF(F118="x","+", "-"))</f>
        <v/>
      </c>
      <c r="W118" s="1" t="str">
        <f>IF(VLOOKUP($C118,Intermediate!$C$2:$R$208,5,FALSE)=G118, "", IF(G118="x","+", "-"))</f>
        <v/>
      </c>
      <c r="X118" s="1" t="str">
        <f>IF(VLOOKUP($C118,Intermediate!$C$2:$R$208,6,FALSE)=H118, "", IF(H118="x","+", "-"))</f>
        <v/>
      </c>
      <c r="Y118" s="1" t="str">
        <f>IF(VLOOKUP($C118,Intermediate!$C$2:$R$208,7,FALSE)=I118, "", IF(I118="x","+", "-"))</f>
        <v/>
      </c>
      <c r="Z118" s="1" t="str">
        <f>IF(VLOOKUP($C118,Intermediate!$C$2:$R$208,8,FALSE)=J118, "", IF(J118="x","+", "-"))</f>
        <v/>
      </c>
      <c r="AA118" s="1" t="str">
        <f>IF(VLOOKUP($C118,Intermediate!$C$2:$R$208,9,FALSE)=K118, "", IF(K118="x","+", "-"))</f>
        <v/>
      </c>
      <c r="AB118" s="1" t="str">
        <f>IF(VLOOKUP($C118,Intermediate!$C$2:$R$208,10,FALSE)=L118, "", IF(L118="x","+", "-"))</f>
        <v/>
      </c>
      <c r="AC118" s="1" t="str">
        <f>IF(VLOOKUP($C118,Intermediate!$C$2:$R$208,11,FALSE)=M118, "", IF(M118="x","+", "-"))</f>
        <v/>
      </c>
      <c r="AD118" s="1" t="str">
        <f>IF(VLOOKUP($C118,Intermediate!$C$2:$R$208,12,FALSE)=N118, "", IF(N118="x","+", "-"))</f>
        <v/>
      </c>
      <c r="AE118" s="1" t="str">
        <f>IF(VLOOKUP($C118,Intermediate!$C$2:$R$208,13,FALSE)=O118, "", IF(O118="x","+", "-"))</f>
        <v/>
      </c>
      <c r="AF118" s="1" t="str">
        <f>IF(VLOOKUP($C118,Intermediate!$C$2:$R$208,14,FALSE)=P118, "", IF(P118="x","+", "-"))</f>
        <v/>
      </c>
      <c r="AG118" s="1" t="str">
        <f>IF(VLOOKUP($C118,Intermediate!$C$2:$R$208,15,FALSE)=Q118, "", IF(Q118="x","+", "-"))</f>
        <v/>
      </c>
      <c r="AH118" s="1" t="str">
        <f>IF(VLOOKUP($C118,Intermediate!$C$2:$R$208,16,FALSE)=R118, "", IF(R118="x","+", "-"))</f>
        <v/>
      </c>
    </row>
    <row r="119" spans="1:34" ht="15" customHeight="1" x14ac:dyDescent="0.2">
      <c r="A119" s="8" t="s">
        <v>145</v>
      </c>
      <c r="B119" s="8" t="s">
        <v>34</v>
      </c>
      <c r="C119" s="9" t="str">
        <f t="shared" si="1"/>
        <v>UT Industrial Software Engineering project</v>
      </c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1"/>
      <c r="T119" s="1" t="str">
        <f>IF(VLOOKUP($C119,Intermediate!$C$2:$R$208,2,FALSE)=D119, "", IF(D119="x","+", "-"))</f>
        <v/>
      </c>
      <c r="U119" s="1" t="str">
        <f>IF(VLOOKUP($C119,Intermediate!$C$2:$R$208,3,FALSE)=E119, "", IF(E119="x","+", "-"))</f>
        <v/>
      </c>
      <c r="V119" s="1" t="str">
        <f>IF(VLOOKUP($C119,Intermediate!$C$2:$R$208,4,FALSE)=F119, "", IF(F119="x","+", "-"))</f>
        <v/>
      </c>
      <c r="W119" s="1" t="str">
        <f>IF(VLOOKUP($C119,Intermediate!$C$2:$R$208,5,FALSE)=G119, "", IF(G119="x","+", "-"))</f>
        <v/>
      </c>
      <c r="X119" s="1" t="str">
        <f>IF(VLOOKUP($C119,Intermediate!$C$2:$R$208,6,FALSE)=H119, "", IF(H119="x","+", "-"))</f>
        <v/>
      </c>
      <c r="Y119" s="1" t="str">
        <f>IF(VLOOKUP($C119,Intermediate!$C$2:$R$208,7,FALSE)=I119, "", IF(I119="x","+", "-"))</f>
        <v/>
      </c>
      <c r="Z119" s="1" t="str">
        <f>IF(VLOOKUP($C119,Intermediate!$C$2:$R$208,8,FALSE)=J119, "", IF(J119="x","+", "-"))</f>
        <v/>
      </c>
      <c r="AA119" s="1" t="str">
        <f>IF(VLOOKUP($C119,Intermediate!$C$2:$R$208,9,FALSE)=K119, "", IF(K119="x","+", "-"))</f>
        <v/>
      </c>
      <c r="AB119" s="1" t="str">
        <f>IF(VLOOKUP($C119,Intermediate!$C$2:$R$208,10,FALSE)=L119, "", IF(L119="x","+", "-"))</f>
        <v/>
      </c>
      <c r="AC119" s="1" t="str">
        <f>IF(VLOOKUP($C119,Intermediate!$C$2:$R$208,11,FALSE)=M119, "", IF(M119="x","+", "-"))</f>
        <v/>
      </c>
      <c r="AD119" s="1" t="str">
        <f>IF(VLOOKUP($C119,Intermediate!$C$2:$R$208,12,FALSE)=N119, "", IF(N119="x","+", "-"))</f>
        <v/>
      </c>
      <c r="AE119" s="1" t="str">
        <f>IF(VLOOKUP($C119,Intermediate!$C$2:$R$208,13,FALSE)=O119, "", IF(O119="x","+", "-"))</f>
        <v/>
      </c>
      <c r="AF119" s="1" t="str">
        <f>IF(VLOOKUP($C119,Intermediate!$C$2:$R$208,14,FALSE)=P119, "", IF(P119="x","+", "-"))</f>
        <v/>
      </c>
      <c r="AG119" s="1" t="str">
        <f>IF(VLOOKUP($C119,Intermediate!$C$2:$R$208,15,FALSE)=Q119, "", IF(Q119="x","+", "-"))</f>
        <v/>
      </c>
      <c r="AH119" s="1" t="str">
        <f>IF(VLOOKUP($C119,Intermediate!$C$2:$R$208,16,FALSE)=R119, "", IF(R119="x","+", "-"))</f>
        <v/>
      </c>
    </row>
    <row r="120" spans="1:34" ht="15" customHeight="1" x14ac:dyDescent="0.2">
      <c r="A120" s="8" t="s">
        <v>146</v>
      </c>
      <c r="B120" s="8" t="s">
        <v>34</v>
      </c>
      <c r="C120" s="9" t="str">
        <f t="shared" si="1"/>
        <v>UT Interactive Theorem Proving</v>
      </c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 t="s">
        <v>19</v>
      </c>
      <c r="R120" s="5"/>
      <c r="S120" s="1"/>
      <c r="T120" s="1" t="str">
        <f>IF(VLOOKUP($C120,Intermediate!$C$2:$R$208,2,FALSE)=D120, "", IF(D120="x","+", "-"))</f>
        <v/>
      </c>
      <c r="U120" s="1" t="str">
        <f>IF(VLOOKUP($C120,Intermediate!$C$2:$R$208,3,FALSE)=E120, "", IF(E120="x","+", "-"))</f>
        <v/>
      </c>
      <c r="V120" s="1" t="str">
        <f>IF(VLOOKUP($C120,Intermediate!$C$2:$R$208,4,FALSE)=F120, "", IF(F120="x","+", "-"))</f>
        <v/>
      </c>
      <c r="W120" s="1" t="str">
        <f>IF(VLOOKUP($C120,Intermediate!$C$2:$R$208,5,FALSE)=G120, "", IF(G120="x","+", "-"))</f>
        <v/>
      </c>
      <c r="X120" s="1" t="str">
        <f>IF(VLOOKUP($C120,Intermediate!$C$2:$R$208,6,FALSE)=H120, "", IF(H120="x","+", "-"))</f>
        <v/>
      </c>
      <c r="Y120" s="1" t="str">
        <f>IF(VLOOKUP($C120,Intermediate!$C$2:$R$208,7,FALSE)=I120, "", IF(I120="x","+", "-"))</f>
        <v/>
      </c>
      <c r="Z120" s="1" t="str">
        <f>IF(VLOOKUP($C120,Intermediate!$C$2:$R$208,8,FALSE)=J120, "", IF(J120="x","+", "-"))</f>
        <v/>
      </c>
      <c r="AA120" s="1" t="str">
        <f>IF(VLOOKUP($C120,Intermediate!$C$2:$R$208,9,FALSE)=K120, "", IF(K120="x","+", "-"))</f>
        <v/>
      </c>
      <c r="AB120" s="1" t="str">
        <f>IF(VLOOKUP($C120,Intermediate!$C$2:$R$208,10,FALSE)=L120, "", IF(L120="x","+", "-"))</f>
        <v/>
      </c>
      <c r="AC120" s="1" t="str">
        <f>IF(VLOOKUP($C120,Intermediate!$C$2:$R$208,11,FALSE)=M120, "", IF(M120="x","+", "-"))</f>
        <v/>
      </c>
      <c r="AD120" s="1" t="str">
        <f>IF(VLOOKUP($C120,Intermediate!$C$2:$R$208,12,FALSE)=N120, "", IF(N120="x","+", "-"))</f>
        <v/>
      </c>
      <c r="AE120" s="1" t="str">
        <f>IF(VLOOKUP($C120,Intermediate!$C$2:$R$208,13,FALSE)=O120, "", IF(O120="x","+", "-"))</f>
        <v/>
      </c>
      <c r="AF120" s="1" t="str">
        <f>IF(VLOOKUP($C120,Intermediate!$C$2:$R$208,14,FALSE)=P120, "", IF(P120="x","+", "-"))</f>
        <v/>
      </c>
      <c r="AG120" s="1" t="str">
        <f>IF(VLOOKUP($C120,Intermediate!$C$2:$R$208,15,FALSE)=Q120, "", IF(Q120="x","+", "-"))</f>
        <v/>
      </c>
      <c r="AH120" s="1" t="str">
        <f>IF(VLOOKUP($C120,Intermediate!$C$2:$R$208,16,FALSE)=R120, "", IF(R120="x","+", "-"))</f>
        <v/>
      </c>
    </row>
    <row r="121" spans="1:34" ht="15" customHeight="1" x14ac:dyDescent="0.2">
      <c r="A121" s="8" t="s">
        <v>147</v>
      </c>
      <c r="B121" s="8" t="s">
        <v>34</v>
      </c>
      <c r="C121" s="9" t="str">
        <f t="shared" si="1"/>
        <v>UT Model driven engineering</v>
      </c>
      <c r="D121" s="5"/>
      <c r="E121" s="5"/>
      <c r="F121" s="5" t="s">
        <v>19</v>
      </c>
      <c r="G121" s="5"/>
      <c r="H121" s="5"/>
      <c r="I121" s="5"/>
      <c r="J121" s="5"/>
      <c r="K121" s="5"/>
      <c r="L121" s="5"/>
      <c r="M121" s="5"/>
      <c r="N121" s="5" t="s">
        <v>19</v>
      </c>
      <c r="O121" s="5"/>
      <c r="P121" s="5"/>
      <c r="Q121" s="5"/>
      <c r="R121" s="5"/>
      <c r="S121" s="1"/>
      <c r="T121" s="1" t="str">
        <f>IF(VLOOKUP($C121,Intermediate!$C$2:$R$208,2,FALSE)=D121, "", IF(D121="x","+", "-"))</f>
        <v/>
      </c>
      <c r="U121" s="1" t="str">
        <f>IF(VLOOKUP($C121,Intermediate!$C$2:$R$208,3,FALSE)=E121, "", IF(E121="x","+", "-"))</f>
        <v/>
      </c>
      <c r="V121" s="1" t="str">
        <f>IF(VLOOKUP($C121,Intermediate!$C$2:$R$208,4,FALSE)=F121, "", IF(F121="x","+", "-"))</f>
        <v/>
      </c>
      <c r="W121" s="1" t="str">
        <f>IF(VLOOKUP($C121,Intermediate!$C$2:$R$208,5,FALSE)=G121, "", IF(G121="x","+", "-"))</f>
        <v/>
      </c>
      <c r="X121" s="1" t="str">
        <f>IF(VLOOKUP($C121,Intermediate!$C$2:$R$208,6,FALSE)=H121, "", IF(H121="x","+", "-"))</f>
        <v/>
      </c>
      <c r="Y121" s="1" t="str">
        <f>IF(VLOOKUP($C121,Intermediate!$C$2:$R$208,7,FALSE)=I121, "", IF(I121="x","+", "-"))</f>
        <v/>
      </c>
      <c r="Z121" s="1" t="str">
        <f>IF(VLOOKUP($C121,Intermediate!$C$2:$R$208,8,FALSE)=J121, "", IF(J121="x","+", "-"))</f>
        <v/>
      </c>
      <c r="AA121" s="1" t="str">
        <f>IF(VLOOKUP($C121,Intermediate!$C$2:$R$208,9,FALSE)=K121, "", IF(K121="x","+", "-"))</f>
        <v/>
      </c>
      <c r="AB121" s="1" t="str">
        <f>IF(VLOOKUP($C121,Intermediate!$C$2:$R$208,10,FALSE)=L121, "", IF(L121="x","+", "-"))</f>
        <v/>
      </c>
      <c r="AC121" s="1" t="str">
        <f>IF(VLOOKUP($C121,Intermediate!$C$2:$R$208,11,FALSE)=M121, "", IF(M121="x","+", "-"))</f>
        <v/>
      </c>
      <c r="AD121" s="1" t="str">
        <f>IF(VLOOKUP($C121,Intermediate!$C$2:$R$208,12,FALSE)=N121, "", IF(N121="x","+", "-"))</f>
        <v/>
      </c>
      <c r="AE121" s="1" t="str">
        <f>IF(VLOOKUP($C121,Intermediate!$C$2:$R$208,13,FALSE)=O121, "", IF(O121="x","+", "-"))</f>
        <v/>
      </c>
      <c r="AF121" s="1" t="str">
        <f>IF(VLOOKUP($C121,Intermediate!$C$2:$R$208,14,FALSE)=P121, "", IF(P121="x","+", "-"))</f>
        <v/>
      </c>
      <c r="AG121" s="1" t="str">
        <f>IF(VLOOKUP($C121,Intermediate!$C$2:$R$208,15,FALSE)=Q121, "", IF(Q121="x","+", "-"))</f>
        <v/>
      </c>
      <c r="AH121" s="1" t="str">
        <f>IF(VLOOKUP($C121,Intermediate!$C$2:$R$208,16,FALSE)=R121, "", IF(R121="x","+", "-"))</f>
        <v/>
      </c>
    </row>
    <row r="122" spans="1:34" ht="15" customHeight="1" x14ac:dyDescent="0.2">
      <c r="A122" s="8" t="s">
        <v>148</v>
      </c>
      <c r="B122" s="8" t="s">
        <v>34</v>
      </c>
      <c r="C122" s="9" t="str">
        <f t="shared" si="1"/>
        <v>UT Modelling and Analysis of Concurrent Systems</v>
      </c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 t="s">
        <v>19</v>
      </c>
      <c r="R122" s="5"/>
      <c r="S122" s="1"/>
      <c r="T122" s="1" t="str">
        <f>IF(VLOOKUP($C122,Intermediate!$C$2:$R$208,2,FALSE)=D122, "", IF(D122="x","+", "-"))</f>
        <v/>
      </c>
      <c r="U122" s="1" t="str">
        <f>IF(VLOOKUP($C122,Intermediate!$C$2:$R$208,3,FALSE)=E122, "", IF(E122="x","+", "-"))</f>
        <v/>
      </c>
      <c r="V122" s="1" t="str">
        <f>IF(VLOOKUP($C122,Intermediate!$C$2:$R$208,4,FALSE)=F122, "", IF(F122="x","+", "-"))</f>
        <v/>
      </c>
      <c r="W122" s="1" t="str">
        <f>IF(VLOOKUP($C122,Intermediate!$C$2:$R$208,5,FALSE)=G122, "", IF(G122="x","+", "-"))</f>
        <v/>
      </c>
      <c r="X122" s="1" t="str">
        <f>IF(VLOOKUP($C122,Intermediate!$C$2:$R$208,6,FALSE)=H122, "", IF(H122="x","+", "-"))</f>
        <v/>
      </c>
      <c r="Y122" s="1" t="str">
        <f>IF(VLOOKUP($C122,Intermediate!$C$2:$R$208,7,FALSE)=I122, "", IF(I122="x","+", "-"))</f>
        <v/>
      </c>
      <c r="Z122" s="1" t="str">
        <f>IF(VLOOKUP($C122,Intermediate!$C$2:$R$208,8,FALSE)=J122, "", IF(J122="x","+", "-"))</f>
        <v/>
      </c>
      <c r="AA122" s="1" t="str">
        <f>IF(VLOOKUP($C122,Intermediate!$C$2:$R$208,9,FALSE)=K122, "", IF(K122="x","+", "-"))</f>
        <v/>
      </c>
      <c r="AB122" s="1" t="str">
        <f>IF(VLOOKUP($C122,Intermediate!$C$2:$R$208,10,FALSE)=L122, "", IF(L122="x","+", "-"))</f>
        <v/>
      </c>
      <c r="AC122" s="1" t="str">
        <f>IF(VLOOKUP($C122,Intermediate!$C$2:$R$208,11,FALSE)=M122, "", IF(M122="x","+", "-"))</f>
        <v/>
      </c>
      <c r="AD122" s="1" t="str">
        <f>IF(VLOOKUP($C122,Intermediate!$C$2:$R$208,12,FALSE)=N122, "", IF(N122="x","+", "-"))</f>
        <v/>
      </c>
      <c r="AE122" s="1" t="str">
        <f>IF(VLOOKUP($C122,Intermediate!$C$2:$R$208,13,FALSE)=O122, "", IF(O122="x","+", "-"))</f>
        <v/>
      </c>
      <c r="AF122" s="1" t="str">
        <f>IF(VLOOKUP($C122,Intermediate!$C$2:$R$208,14,FALSE)=P122, "", IF(P122="x","+", "-"))</f>
        <v/>
      </c>
      <c r="AG122" s="1" t="str">
        <f>IF(VLOOKUP($C122,Intermediate!$C$2:$R$208,15,FALSE)=Q122, "", IF(Q122="x","+", "-"))</f>
        <v/>
      </c>
      <c r="AH122" s="1" t="str">
        <f>IF(VLOOKUP($C122,Intermediate!$C$2:$R$208,16,FALSE)=R122, "", IF(R122="x","+", "-"))</f>
        <v/>
      </c>
    </row>
    <row r="123" spans="1:34" ht="15" customHeight="1" x14ac:dyDescent="0.2">
      <c r="A123" s="8" t="s">
        <v>149</v>
      </c>
      <c r="B123" s="8" t="s">
        <v>34</v>
      </c>
      <c r="C123" s="9" t="str">
        <f t="shared" si="1"/>
        <v>UT Program Verification / Software Science 15</v>
      </c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 t="s">
        <v>19</v>
      </c>
      <c r="R123" s="5"/>
      <c r="S123" s="7"/>
      <c r="T123" s="1" t="str">
        <f>IF(VLOOKUP($C123,Intermediate!$C$2:$R$208,2,FALSE)=D123, "", IF(D123="x","+", "-"))</f>
        <v/>
      </c>
      <c r="U123" s="1" t="str">
        <f>IF(VLOOKUP($C123,Intermediate!$C$2:$R$208,3,FALSE)=E123, "", IF(E123="x","+", "-"))</f>
        <v/>
      </c>
      <c r="V123" s="1" t="str">
        <f>IF(VLOOKUP($C123,Intermediate!$C$2:$R$208,4,FALSE)=F123, "", IF(F123="x","+", "-"))</f>
        <v/>
      </c>
      <c r="W123" s="1" t="str">
        <f>IF(VLOOKUP($C123,Intermediate!$C$2:$R$208,5,FALSE)=G123, "", IF(G123="x","+", "-"))</f>
        <v/>
      </c>
      <c r="X123" s="1" t="str">
        <f>IF(VLOOKUP($C123,Intermediate!$C$2:$R$208,6,FALSE)=H123, "", IF(H123="x","+", "-"))</f>
        <v/>
      </c>
      <c r="Y123" s="1" t="str">
        <f>IF(VLOOKUP($C123,Intermediate!$C$2:$R$208,7,FALSE)=I123, "", IF(I123="x","+", "-"))</f>
        <v/>
      </c>
      <c r="Z123" s="1" t="str">
        <f>IF(VLOOKUP($C123,Intermediate!$C$2:$R$208,8,FALSE)=J123, "", IF(J123="x","+", "-"))</f>
        <v/>
      </c>
      <c r="AA123" s="1" t="str">
        <f>IF(VLOOKUP($C123,Intermediate!$C$2:$R$208,9,FALSE)=K123, "", IF(K123="x","+", "-"))</f>
        <v/>
      </c>
      <c r="AB123" s="1" t="str">
        <f>IF(VLOOKUP($C123,Intermediate!$C$2:$R$208,10,FALSE)=L123, "", IF(L123="x","+", "-"))</f>
        <v/>
      </c>
      <c r="AC123" s="1" t="str">
        <f>IF(VLOOKUP($C123,Intermediate!$C$2:$R$208,11,FALSE)=M123, "", IF(M123="x","+", "-"))</f>
        <v/>
      </c>
      <c r="AD123" s="1" t="str">
        <f>IF(VLOOKUP($C123,Intermediate!$C$2:$R$208,12,FALSE)=N123, "", IF(N123="x","+", "-"))</f>
        <v/>
      </c>
      <c r="AE123" s="1" t="str">
        <f>IF(VLOOKUP($C123,Intermediate!$C$2:$R$208,13,FALSE)=O123, "", IF(O123="x","+", "-"))</f>
        <v/>
      </c>
      <c r="AF123" s="1" t="str">
        <f>IF(VLOOKUP($C123,Intermediate!$C$2:$R$208,14,FALSE)=P123, "", IF(P123="x","+", "-"))</f>
        <v/>
      </c>
      <c r="AG123" s="1" t="str">
        <f>IF(VLOOKUP($C123,Intermediate!$C$2:$R$208,15,FALSE)=Q123, "", IF(Q123="x","+", "-"))</f>
        <v/>
      </c>
      <c r="AH123" s="1" t="str">
        <f>IF(VLOOKUP($C123,Intermediate!$C$2:$R$208,16,FALSE)=R123, "", IF(R123="x","+", "-"))</f>
        <v/>
      </c>
    </row>
    <row r="124" spans="1:34" ht="15" customHeight="1" x14ac:dyDescent="0.2">
      <c r="A124" s="8" t="s">
        <v>150</v>
      </c>
      <c r="B124" s="8" t="s">
        <v>34</v>
      </c>
      <c r="C124" s="9" t="str">
        <f t="shared" si="1"/>
        <v>UT Security Verification</v>
      </c>
      <c r="D124" s="5"/>
      <c r="E124" s="5"/>
      <c r="F124" s="12"/>
      <c r="G124" s="5"/>
      <c r="H124" s="5"/>
      <c r="I124" s="5"/>
      <c r="J124" s="5"/>
      <c r="K124" s="5"/>
      <c r="L124" s="5"/>
      <c r="M124" s="5"/>
      <c r="N124" s="12"/>
      <c r="O124" s="5" t="s">
        <v>19</v>
      </c>
      <c r="P124" s="5"/>
      <c r="Q124" s="5" t="s">
        <v>19</v>
      </c>
      <c r="R124" s="5"/>
      <c r="S124" s="7"/>
      <c r="T124" s="1" t="str">
        <f>IF(VLOOKUP($C124,Intermediate!$C$2:$R$208,2,FALSE)=D124, "", IF(D124="x","+", "-"))</f>
        <v/>
      </c>
      <c r="U124" s="1" t="str">
        <f>IF(VLOOKUP($C124,Intermediate!$C$2:$R$208,3,FALSE)=E124, "", IF(E124="x","+", "-"))</f>
        <v/>
      </c>
      <c r="V124" s="1" t="str">
        <f>IF(VLOOKUP($C124,Intermediate!$C$2:$R$208,4,FALSE)=F124, "", IF(F124="x","+", "-"))</f>
        <v/>
      </c>
      <c r="W124" s="1" t="str">
        <f>IF(VLOOKUP($C124,Intermediate!$C$2:$R$208,5,FALSE)=G124, "", IF(G124="x","+", "-"))</f>
        <v/>
      </c>
      <c r="X124" s="1" t="str">
        <f>IF(VLOOKUP($C124,Intermediate!$C$2:$R$208,6,FALSE)=H124, "", IF(H124="x","+", "-"))</f>
        <v/>
      </c>
      <c r="Y124" s="1" t="str">
        <f>IF(VLOOKUP($C124,Intermediate!$C$2:$R$208,7,FALSE)=I124, "", IF(I124="x","+", "-"))</f>
        <v/>
      </c>
      <c r="Z124" s="1" t="str">
        <f>IF(VLOOKUP($C124,Intermediate!$C$2:$R$208,8,FALSE)=J124, "", IF(J124="x","+", "-"))</f>
        <v/>
      </c>
      <c r="AA124" s="1" t="str">
        <f>IF(VLOOKUP($C124,Intermediate!$C$2:$R$208,9,FALSE)=K124, "", IF(K124="x","+", "-"))</f>
        <v/>
      </c>
      <c r="AB124" s="1" t="str">
        <f>IF(VLOOKUP($C124,Intermediate!$C$2:$R$208,10,FALSE)=L124, "", IF(L124="x","+", "-"))</f>
        <v/>
      </c>
      <c r="AC124" s="1" t="str">
        <f>IF(VLOOKUP($C124,Intermediate!$C$2:$R$208,11,FALSE)=M124, "", IF(M124="x","+", "-"))</f>
        <v/>
      </c>
      <c r="AD124" s="1" t="str">
        <f>IF(VLOOKUP($C124,Intermediate!$C$2:$R$208,12,FALSE)=N124, "", IF(N124="x","+", "-"))</f>
        <v/>
      </c>
      <c r="AE124" s="1" t="str">
        <f>IF(VLOOKUP($C124,Intermediate!$C$2:$R$208,13,FALSE)=O124, "", IF(O124="x","+", "-"))</f>
        <v/>
      </c>
      <c r="AF124" s="1" t="str">
        <f>IF(VLOOKUP($C124,Intermediate!$C$2:$R$208,14,FALSE)=P124, "", IF(P124="x","+", "-"))</f>
        <v/>
      </c>
      <c r="AG124" s="1" t="str">
        <f>IF(VLOOKUP($C124,Intermediate!$C$2:$R$208,15,FALSE)=Q124, "", IF(Q124="x","+", "-"))</f>
        <v/>
      </c>
      <c r="AH124" s="1" t="str">
        <f>IF(VLOOKUP($C124,Intermediate!$C$2:$R$208,16,FALSE)=R124, "", IF(R124="x","+", "-"))</f>
        <v/>
      </c>
    </row>
    <row r="125" spans="1:34" ht="15" customHeight="1" x14ac:dyDescent="0.2">
      <c r="A125" s="8" t="s">
        <v>151</v>
      </c>
      <c r="B125" s="8" t="s">
        <v>34</v>
      </c>
      <c r="C125" s="9" t="str">
        <f t="shared" si="1"/>
        <v>UT Service-oriented Architecture with Web services</v>
      </c>
      <c r="D125" s="5"/>
      <c r="E125" s="5" t="s">
        <v>19</v>
      </c>
      <c r="F125" s="4"/>
      <c r="G125" s="5"/>
      <c r="H125" s="5"/>
      <c r="I125" s="5" t="s">
        <v>19</v>
      </c>
      <c r="J125" s="5"/>
      <c r="K125" s="5"/>
      <c r="L125" s="5"/>
      <c r="M125" s="5"/>
      <c r="N125" s="4" t="s">
        <v>19</v>
      </c>
      <c r="O125" s="5"/>
      <c r="P125" s="5"/>
      <c r="Q125" s="5"/>
      <c r="R125" s="5"/>
      <c r="S125" s="7"/>
      <c r="T125" s="1" t="str">
        <f>IF(VLOOKUP($C125,Intermediate!$C$2:$R$208,2,FALSE)=D125, "", IF(D125="x","+", "-"))</f>
        <v/>
      </c>
      <c r="U125" s="1" t="str">
        <f>IF(VLOOKUP($C125,Intermediate!$C$2:$R$208,3,FALSE)=E125, "", IF(E125="x","+", "-"))</f>
        <v/>
      </c>
      <c r="V125" s="1" t="str">
        <f>IF(VLOOKUP($C125,Intermediate!$C$2:$R$208,4,FALSE)=F125, "", IF(F125="x","+", "-"))</f>
        <v/>
      </c>
      <c r="W125" s="1" t="str">
        <f>IF(VLOOKUP($C125,Intermediate!$C$2:$R$208,5,FALSE)=G125, "", IF(G125="x","+", "-"))</f>
        <v/>
      </c>
      <c r="X125" s="1" t="str">
        <f>IF(VLOOKUP($C125,Intermediate!$C$2:$R$208,6,FALSE)=H125, "", IF(H125="x","+", "-"))</f>
        <v/>
      </c>
      <c r="Y125" s="1" t="str">
        <f>IF(VLOOKUP($C125,Intermediate!$C$2:$R$208,7,FALSE)=I125, "", IF(I125="x","+", "-"))</f>
        <v/>
      </c>
      <c r="Z125" s="1" t="str">
        <f>IF(VLOOKUP($C125,Intermediate!$C$2:$R$208,8,FALSE)=J125, "", IF(J125="x","+", "-"))</f>
        <v/>
      </c>
      <c r="AA125" s="1" t="str">
        <f>IF(VLOOKUP($C125,Intermediate!$C$2:$R$208,9,FALSE)=K125, "", IF(K125="x","+", "-"))</f>
        <v/>
      </c>
      <c r="AB125" s="1" t="str">
        <f>IF(VLOOKUP($C125,Intermediate!$C$2:$R$208,10,FALSE)=L125, "", IF(L125="x","+", "-"))</f>
        <v/>
      </c>
      <c r="AC125" s="1" t="str">
        <f>IF(VLOOKUP($C125,Intermediate!$C$2:$R$208,11,FALSE)=M125, "", IF(M125="x","+", "-"))</f>
        <v/>
      </c>
      <c r="AD125" s="1" t="str">
        <f>IF(VLOOKUP($C125,Intermediate!$C$2:$R$208,12,FALSE)=N125, "", IF(N125="x","+", "-"))</f>
        <v/>
      </c>
      <c r="AE125" s="1" t="str">
        <f>IF(VLOOKUP($C125,Intermediate!$C$2:$R$208,13,FALSE)=O125, "", IF(O125="x","+", "-"))</f>
        <v/>
      </c>
      <c r="AF125" s="1" t="str">
        <f>IF(VLOOKUP($C125,Intermediate!$C$2:$R$208,14,FALSE)=P125, "", IF(P125="x","+", "-"))</f>
        <v/>
      </c>
      <c r="AG125" s="1" t="str">
        <f>IF(VLOOKUP($C125,Intermediate!$C$2:$R$208,15,FALSE)=Q125, "", IF(Q125="x","+", "-"))</f>
        <v/>
      </c>
      <c r="AH125" s="1" t="str">
        <f>IF(VLOOKUP($C125,Intermediate!$C$2:$R$208,16,FALSE)=R125, "", IF(R125="x","+", "-"))</f>
        <v/>
      </c>
    </row>
    <row r="126" spans="1:34" ht="15" customHeight="1" x14ac:dyDescent="0.2">
      <c r="A126" s="8" t="s">
        <v>152</v>
      </c>
      <c r="B126" s="8" t="s">
        <v>34</v>
      </c>
      <c r="C126" s="9" t="str">
        <f t="shared" si="1"/>
        <v>UT Software Engineering Techniques</v>
      </c>
      <c r="D126" s="5"/>
      <c r="E126" s="5"/>
      <c r="F126" s="5"/>
      <c r="G126" s="12"/>
      <c r="H126" s="5"/>
      <c r="I126" s="5"/>
      <c r="J126" s="5"/>
      <c r="K126" s="5"/>
      <c r="L126" s="5"/>
      <c r="M126" s="5"/>
      <c r="N126" s="12"/>
      <c r="O126" s="5"/>
      <c r="P126" s="5"/>
      <c r="Q126" s="12"/>
      <c r="R126" s="12"/>
      <c r="S126" s="1"/>
      <c r="T126" s="1" t="str">
        <f>IF(VLOOKUP($C126,Intermediate!$C$2:$R$208,2,FALSE)=D126, "", IF(D126="x","+", "-"))</f>
        <v/>
      </c>
      <c r="U126" s="1" t="str">
        <f>IF(VLOOKUP($C126,Intermediate!$C$2:$R$208,3,FALSE)=E126, "", IF(E126="x","+", "-"))</f>
        <v/>
      </c>
      <c r="V126" s="1" t="str">
        <f>IF(VLOOKUP($C126,Intermediate!$C$2:$R$208,4,FALSE)=F126, "", IF(F126="x","+", "-"))</f>
        <v/>
      </c>
      <c r="W126" s="1" t="str">
        <f>IF(VLOOKUP($C126,Intermediate!$C$2:$R$208,5,FALSE)=G126, "", IF(G126="x","+", "-"))</f>
        <v/>
      </c>
      <c r="X126" s="1" t="str">
        <f>IF(VLOOKUP($C126,Intermediate!$C$2:$R$208,6,FALSE)=H126, "", IF(H126="x","+", "-"))</f>
        <v/>
      </c>
      <c r="Y126" s="1" t="str">
        <f>IF(VLOOKUP($C126,Intermediate!$C$2:$R$208,7,FALSE)=I126, "", IF(I126="x","+", "-"))</f>
        <v/>
      </c>
      <c r="Z126" s="1" t="str">
        <f>IF(VLOOKUP($C126,Intermediate!$C$2:$R$208,8,FALSE)=J126, "", IF(J126="x","+", "-"))</f>
        <v/>
      </c>
      <c r="AA126" s="1" t="str">
        <f>IF(VLOOKUP($C126,Intermediate!$C$2:$R$208,9,FALSE)=K126, "", IF(K126="x","+", "-"))</f>
        <v/>
      </c>
      <c r="AB126" s="1" t="str">
        <f>IF(VLOOKUP($C126,Intermediate!$C$2:$R$208,10,FALSE)=L126, "", IF(L126="x","+", "-"))</f>
        <v/>
      </c>
      <c r="AC126" s="1" t="str">
        <f>IF(VLOOKUP($C126,Intermediate!$C$2:$R$208,11,FALSE)=M126, "", IF(M126="x","+", "-"))</f>
        <v/>
      </c>
      <c r="AD126" s="1" t="str">
        <f>IF(VLOOKUP($C126,Intermediate!$C$2:$R$208,12,FALSE)=N126, "", IF(N126="x","+", "-"))</f>
        <v/>
      </c>
      <c r="AE126" s="1" t="str">
        <f>IF(VLOOKUP($C126,Intermediate!$C$2:$R$208,13,FALSE)=O126, "", IF(O126="x","+", "-"))</f>
        <v/>
      </c>
      <c r="AF126" s="1" t="str">
        <f>IF(VLOOKUP($C126,Intermediate!$C$2:$R$208,14,FALSE)=P126, "", IF(P126="x","+", "-"))</f>
        <v/>
      </c>
      <c r="AG126" s="1" t="str">
        <f>IF(VLOOKUP($C126,Intermediate!$C$2:$R$208,15,FALSE)=Q126, "", IF(Q126="x","+", "-"))</f>
        <v/>
      </c>
      <c r="AH126" s="1" t="str">
        <f>IF(VLOOKUP($C126,Intermediate!$C$2:$R$208,16,FALSE)=R126, "", IF(R126="x","+", "-"))</f>
        <v/>
      </c>
    </row>
    <row r="127" spans="1:34" ht="15" customHeight="1" x14ac:dyDescent="0.2">
      <c r="A127" s="8" t="s">
        <v>70</v>
      </c>
      <c r="B127" s="8" t="s">
        <v>34</v>
      </c>
      <c r="C127" s="9" t="str">
        <f t="shared" si="1"/>
        <v>UT Software Evolution</v>
      </c>
      <c r="D127" s="5"/>
      <c r="E127" s="5"/>
      <c r="F127" s="5"/>
      <c r="G127" s="4"/>
      <c r="H127" s="5"/>
      <c r="I127" s="5"/>
      <c r="J127" s="5" t="s">
        <v>19</v>
      </c>
      <c r="K127" s="5"/>
      <c r="L127" s="5"/>
      <c r="M127" s="5"/>
      <c r="N127" s="4"/>
      <c r="O127" s="5"/>
      <c r="P127" s="5"/>
      <c r="Q127" s="4"/>
      <c r="R127" s="4"/>
      <c r="S127" s="1"/>
      <c r="T127" s="1" t="str">
        <f>IF(VLOOKUP($C127,Intermediate!$C$2:$R$208,2,FALSE)=D127, "", IF(D127="x","+", "-"))</f>
        <v/>
      </c>
      <c r="U127" s="1" t="str">
        <f>IF(VLOOKUP($C127,Intermediate!$C$2:$R$208,3,FALSE)=E127, "", IF(E127="x","+", "-"))</f>
        <v/>
      </c>
      <c r="V127" s="1" t="str">
        <f>IF(VLOOKUP($C127,Intermediate!$C$2:$R$208,4,FALSE)=F127, "", IF(F127="x","+", "-"))</f>
        <v/>
      </c>
      <c r="W127" s="1" t="str">
        <f>IF(VLOOKUP($C127,Intermediate!$C$2:$R$208,5,FALSE)=G127, "", IF(G127="x","+", "-"))</f>
        <v/>
      </c>
      <c r="X127" s="1" t="str">
        <f>IF(VLOOKUP($C127,Intermediate!$C$2:$R$208,6,FALSE)=H127, "", IF(H127="x","+", "-"))</f>
        <v/>
      </c>
      <c r="Y127" s="1" t="str">
        <f>IF(VLOOKUP($C127,Intermediate!$C$2:$R$208,7,FALSE)=I127, "", IF(I127="x","+", "-"))</f>
        <v/>
      </c>
      <c r="Z127" s="1" t="str">
        <f>IF(VLOOKUP($C127,Intermediate!$C$2:$R$208,8,FALSE)=J127, "", IF(J127="x","+", "-"))</f>
        <v/>
      </c>
      <c r="AA127" s="1" t="str">
        <f>IF(VLOOKUP($C127,Intermediate!$C$2:$R$208,9,FALSE)=K127, "", IF(K127="x","+", "-"))</f>
        <v/>
      </c>
      <c r="AB127" s="1" t="str">
        <f>IF(VLOOKUP($C127,Intermediate!$C$2:$R$208,10,FALSE)=L127, "", IF(L127="x","+", "-"))</f>
        <v/>
      </c>
      <c r="AC127" s="1" t="str">
        <f>IF(VLOOKUP($C127,Intermediate!$C$2:$R$208,11,FALSE)=M127, "", IF(M127="x","+", "-"))</f>
        <v/>
      </c>
      <c r="AD127" s="1" t="str">
        <f>IF(VLOOKUP($C127,Intermediate!$C$2:$R$208,12,FALSE)=N127, "", IF(N127="x","+", "-"))</f>
        <v/>
      </c>
      <c r="AE127" s="1" t="str">
        <f>IF(VLOOKUP($C127,Intermediate!$C$2:$R$208,13,FALSE)=O127, "", IF(O127="x","+", "-"))</f>
        <v/>
      </c>
      <c r="AF127" s="1" t="str">
        <f>IF(VLOOKUP($C127,Intermediate!$C$2:$R$208,14,FALSE)=P127, "", IF(P127="x","+", "-"))</f>
        <v/>
      </c>
      <c r="AG127" s="1" t="str">
        <f>IF(VLOOKUP($C127,Intermediate!$C$2:$R$208,15,FALSE)=Q127, "", IF(Q127="x","+", "-"))</f>
        <v/>
      </c>
      <c r="AH127" s="1" t="str">
        <f>IF(VLOOKUP($C127,Intermediate!$C$2:$R$208,16,FALSE)=R127, "", IF(R127="x","+", "-"))</f>
        <v/>
      </c>
    </row>
    <row r="128" spans="1:34" ht="15" customHeight="1" x14ac:dyDescent="0.2">
      <c r="A128" s="8" t="s">
        <v>33</v>
      </c>
      <c r="B128" s="8" t="s">
        <v>34</v>
      </c>
      <c r="C128" s="9" t="str">
        <f t="shared" si="1"/>
        <v>UT Software Management</v>
      </c>
      <c r="D128" s="5"/>
      <c r="E128" s="5"/>
      <c r="F128" s="5"/>
      <c r="G128" s="5"/>
      <c r="H128" s="5"/>
      <c r="I128" s="5"/>
      <c r="J128" s="5"/>
      <c r="K128" s="5"/>
      <c r="L128" s="5" t="s">
        <v>19</v>
      </c>
      <c r="M128" s="5" t="s">
        <v>19</v>
      </c>
      <c r="N128" s="5"/>
      <c r="O128" s="5"/>
      <c r="P128" s="5" t="s">
        <v>19</v>
      </c>
      <c r="Q128" s="5"/>
      <c r="R128" s="5"/>
      <c r="S128" s="1"/>
      <c r="T128" s="1" t="str">
        <f>IF(VLOOKUP($C128,Intermediate!$C$2:$R$208,2,FALSE)=D128, "", IF(D128="x","+", "-"))</f>
        <v/>
      </c>
      <c r="U128" s="1" t="str">
        <f>IF(VLOOKUP($C128,Intermediate!$C$2:$R$208,3,FALSE)=E128, "", IF(E128="x","+", "-"))</f>
        <v/>
      </c>
      <c r="V128" s="1" t="str">
        <f>IF(VLOOKUP($C128,Intermediate!$C$2:$R$208,4,FALSE)=F128, "", IF(F128="x","+", "-"))</f>
        <v/>
      </c>
      <c r="W128" s="1" t="str">
        <f>IF(VLOOKUP($C128,Intermediate!$C$2:$R$208,5,FALSE)=G128, "", IF(G128="x","+", "-"))</f>
        <v/>
      </c>
      <c r="X128" s="1" t="str">
        <f>IF(VLOOKUP($C128,Intermediate!$C$2:$R$208,6,FALSE)=H128, "", IF(H128="x","+", "-"))</f>
        <v/>
      </c>
      <c r="Y128" s="1" t="str">
        <f>IF(VLOOKUP($C128,Intermediate!$C$2:$R$208,7,FALSE)=I128, "", IF(I128="x","+", "-"))</f>
        <v/>
      </c>
      <c r="Z128" s="1" t="str">
        <f>IF(VLOOKUP($C128,Intermediate!$C$2:$R$208,8,FALSE)=J128, "", IF(J128="x","+", "-"))</f>
        <v/>
      </c>
      <c r="AA128" s="1" t="str">
        <f>IF(VLOOKUP($C128,Intermediate!$C$2:$R$208,9,FALSE)=K128, "", IF(K128="x","+", "-"))</f>
        <v/>
      </c>
      <c r="AB128" s="1" t="str">
        <f>IF(VLOOKUP($C128,Intermediate!$C$2:$R$208,10,FALSE)=L128, "", IF(L128="x","+", "-"))</f>
        <v/>
      </c>
      <c r="AC128" s="1" t="str">
        <f>IF(VLOOKUP($C128,Intermediate!$C$2:$R$208,11,FALSE)=M128, "", IF(M128="x","+", "-"))</f>
        <v/>
      </c>
      <c r="AD128" s="1" t="str">
        <f>IF(VLOOKUP($C128,Intermediate!$C$2:$R$208,12,FALSE)=N128, "", IF(N128="x","+", "-"))</f>
        <v/>
      </c>
      <c r="AE128" s="1" t="str">
        <f>IF(VLOOKUP($C128,Intermediate!$C$2:$R$208,13,FALSE)=O128, "", IF(O128="x","+", "-"))</f>
        <v/>
      </c>
      <c r="AF128" s="1" t="str">
        <f>IF(VLOOKUP($C128,Intermediate!$C$2:$R$208,14,FALSE)=P128, "", IF(P128="x","+", "-"))</f>
        <v/>
      </c>
      <c r="AG128" s="1" t="str">
        <f>IF(VLOOKUP($C128,Intermediate!$C$2:$R$208,15,FALSE)=Q128, "", IF(Q128="x","+", "-"))</f>
        <v/>
      </c>
      <c r="AH128" s="1" t="str">
        <f>IF(VLOOKUP($C128,Intermediate!$C$2:$R$208,16,FALSE)=R128, "", IF(R128="x","+", "-"))</f>
        <v/>
      </c>
    </row>
    <row r="129" spans="1:34" ht="15" customHeight="1" x14ac:dyDescent="0.2">
      <c r="A129" s="8" t="s">
        <v>98</v>
      </c>
      <c r="B129" s="8" t="s">
        <v>34</v>
      </c>
      <c r="C129" s="9" t="str">
        <f t="shared" si="1"/>
        <v>UT Software Security</v>
      </c>
      <c r="D129" s="5"/>
      <c r="E129" s="5"/>
      <c r="F129" s="5"/>
      <c r="G129" s="5" t="s">
        <v>19</v>
      </c>
      <c r="H129" s="5"/>
      <c r="I129" s="5"/>
      <c r="J129" s="5"/>
      <c r="K129" s="5"/>
      <c r="L129" s="5"/>
      <c r="M129" s="5"/>
      <c r="N129" s="5"/>
      <c r="O129" s="5" t="s">
        <v>19</v>
      </c>
      <c r="P129" s="5"/>
      <c r="Q129" s="5"/>
      <c r="R129" s="5"/>
      <c r="S129" s="1"/>
      <c r="T129" s="1" t="str">
        <f>IF(VLOOKUP($C129,Intermediate!$C$2:$R$208,2,FALSE)=D129, "", IF(D129="x","+", "-"))</f>
        <v/>
      </c>
      <c r="U129" s="1" t="str">
        <f>IF(VLOOKUP($C129,Intermediate!$C$2:$R$208,3,FALSE)=E129, "", IF(E129="x","+", "-"))</f>
        <v/>
      </c>
      <c r="V129" s="1" t="str">
        <f>IF(VLOOKUP($C129,Intermediate!$C$2:$R$208,4,FALSE)=F129, "", IF(F129="x","+", "-"))</f>
        <v/>
      </c>
      <c r="W129" s="1" t="str">
        <f>IF(VLOOKUP($C129,Intermediate!$C$2:$R$208,5,FALSE)=G129, "", IF(G129="x","+", "-"))</f>
        <v/>
      </c>
      <c r="X129" s="1" t="str">
        <f>IF(VLOOKUP($C129,Intermediate!$C$2:$R$208,6,FALSE)=H129, "", IF(H129="x","+", "-"))</f>
        <v/>
      </c>
      <c r="Y129" s="1" t="str">
        <f>IF(VLOOKUP($C129,Intermediate!$C$2:$R$208,7,FALSE)=I129, "", IF(I129="x","+", "-"))</f>
        <v/>
      </c>
      <c r="Z129" s="1" t="str">
        <f>IF(VLOOKUP($C129,Intermediate!$C$2:$R$208,8,FALSE)=J129, "", IF(J129="x","+", "-"))</f>
        <v/>
      </c>
      <c r="AA129" s="1" t="str">
        <f>IF(VLOOKUP($C129,Intermediate!$C$2:$R$208,9,FALSE)=K129, "", IF(K129="x","+", "-"))</f>
        <v/>
      </c>
      <c r="AB129" s="1" t="str">
        <f>IF(VLOOKUP($C129,Intermediate!$C$2:$R$208,10,FALSE)=L129, "", IF(L129="x","+", "-"))</f>
        <v/>
      </c>
      <c r="AC129" s="1" t="str">
        <f>IF(VLOOKUP($C129,Intermediate!$C$2:$R$208,11,FALSE)=M129, "", IF(M129="x","+", "-"))</f>
        <v/>
      </c>
      <c r="AD129" s="1" t="str">
        <f>IF(VLOOKUP($C129,Intermediate!$C$2:$R$208,12,FALSE)=N129, "", IF(N129="x","+", "-"))</f>
        <v/>
      </c>
      <c r="AE129" s="1" t="str">
        <f>IF(VLOOKUP($C129,Intermediate!$C$2:$R$208,13,FALSE)=O129, "", IF(O129="x","+", "-"))</f>
        <v/>
      </c>
      <c r="AF129" s="1" t="str">
        <f>IF(VLOOKUP($C129,Intermediate!$C$2:$R$208,14,FALSE)=P129, "", IF(P129="x","+", "-"))</f>
        <v/>
      </c>
      <c r="AG129" s="1" t="str">
        <f>IF(VLOOKUP($C129,Intermediate!$C$2:$R$208,15,FALSE)=Q129, "", IF(Q129="x","+", "-"))</f>
        <v/>
      </c>
      <c r="AH129" s="1" t="str">
        <f>IF(VLOOKUP($C129,Intermediate!$C$2:$R$208,16,FALSE)=R129, "", IF(R129="x","+", "-"))</f>
        <v/>
      </c>
    </row>
    <row r="130" spans="1:34" ht="15" customHeight="1" x14ac:dyDescent="0.2">
      <c r="A130" s="8" t="s">
        <v>126</v>
      </c>
      <c r="B130" s="8" t="s">
        <v>34</v>
      </c>
      <c r="C130" s="9" t="str">
        <f t="shared" si="1"/>
        <v>UT Software Testing and Risk Assessment</v>
      </c>
      <c r="D130" s="5"/>
      <c r="E130" s="5"/>
      <c r="F130" s="5"/>
      <c r="G130" s="5"/>
      <c r="H130" s="12" t="s">
        <v>19</v>
      </c>
      <c r="I130" s="5"/>
      <c r="J130" s="5"/>
      <c r="K130" s="5"/>
      <c r="L130" s="5"/>
      <c r="M130" s="5"/>
      <c r="N130" s="5" t="s">
        <v>19</v>
      </c>
      <c r="O130" s="5"/>
      <c r="P130" s="5"/>
      <c r="Q130" s="4"/>
      <c r="R130" s="5"/>
      <c r="S130" s="1"/>
      <c r="T130" s="1" t="str">
        <f>IF(VLOOKUP($C130,Intermediate!$C$2:$R$208,2,FALSE)=D130, "", IF(D130="x","+", "-"))</f>
        <v/>
      </c>
      <c r="U130" s="1" t="str">
        <f>IF(VLOOKUP($C130,Intermediate!$C$2:$R$208,3,FALSE)=E130, "", IF(E130="x","+", "-"))</f>
        <v/>
      </c>
      <c r="V130" s="1" t="str">
        <f>IF(VLOOKUP($C130,Intermediate!$C$2:$R$208,4,FALSE)=F130, "", IF(F130="x","+", "-"))</f>
        <v/>
      </c>
      <c r="W130" s="1" t="str">
        <f>IF(VLOOKUP($C130,Intermediate!$C$2:$R$208,5,FALSE)=G130, "", IF(G130="x","+", "-"))</f>
        <v/>
      </c>
      <c r="X130" s="1" t="str">
        <f>IF(VLOOKUP($C130,Intermediate!$C$2:$R$208,6,FALSE)=H130, "", IF(H130="x","+", "-"))</f>
        <v/>
      </c>
      <c r="Y130" s="1" t="str">
        <f>IF(VLOOKUP($C130,Intermediate!$C$2:$R$208,7,FALSE)=I130, "", IF(I130="x","+", "-"))</f>
        <v/>
      </c>
      <c r="Z130" s="1" t="str">
        <f>IF(VLOOKUP($C130,Intermediate!$C$2:$R$208,8,FALSE)=J130, "", IF(J130="x","+", "-"))</f>
        <v/>
      </c>
      <c r="AA130" s="1" t="str">
        <f>IF(VLOOKUP($C130,Intermediate!$C$2:$R$208,9,FALSE)=K130, "", IF(K130="x","+", "-"))</f>
        <v/>
      </c>
      <c r="AB130" s="1" t="str">
        <f>IF(VLOOKUP($C130,Intermediate!$C$2:$R$208,10,FALSE)=L130, "", IF(L130="x","+", "-"))</f>
        <v/>
      </c>
      <c r="AC130" s="1" t="str">
        <f>IF(VLOOKUP($C130,Intermediate!$C$2:$R$208,11,FALSE)=M130, "", IF(M130="x","+", "-"))</f>
        <v/>
      </c>
      <c r="AD130" s="1" t="str">
        <f>IF(VLOOKUP($C130,Intermediate!$C$2:$R$208,12,FALSE)=N130, "", IF(N130="x","+", "-"))</f>
        <v/>
      </c>
      <c r="AE130" s="1" t="str">
        <f>IF(VLOOKUP($C130,Intermediate!$C$2:$R$208,13,FALSE)=O130, "", IF(O130="x","+", "-"))</f>
        <v/>
      </c>
      <c r="AF130" s="1" t="str">
        <f>IF(VLOOKUP($C130,Intermediate!$C$2:$R$208,14,FALSE)=P130, "", IF(P130="x","+", "-"))</f>
        <v/>
      </c>
      <c r="AG130" s="1" t="str">
        <f>IF(VLOOKUP($C130,Intermediate!$C$2:$R$208,15,FALSE)=Q130, "", IF(Q130="x","+", "-"))</f>
        <v/>
      </c>
      <c r="AH130" s="1" t="str">
        <f>IF(VLOOKUP($C130,Intermediate!$C$2:$R$208,16,FALSE)=R130, "", IF(R130="x","+", "-"))</f>
        <v/>
      </c>
    </row>
    <row r="131" spans="1:34" ht="15" customHeight="1" x14ac:dyDescent="0.2">
      <c r="A131" s="8" t="s">
        <v>154</v>
      </c>
      <c r="B131" s="8" t="s">
        <v>34</v>
      </c>
      <c r="C131" s="9" t="str">
        <f t="shared" ref="C131:C194" si="2">_xlfn.CONCAT(B131, " ", A131)</f>
        <v>UT System Validation</v>
      </c>
      <c r="D131" s="5"/>
      <c r="E131" s="5"/>
      <c r="F131" s="5"/>
      <c r="G131" s="5"/>
      <c r="H131" s="4"/>
      <c r="I131" s="5"/>
      <c r="J131" s="5"/>
      <c r="K131" s="5"/>
      <c r="L131" s="5"/>
      <c r="M131" s="5"/>
      <c r="N131" s="5"/>
      <c r="O131" s="5"/>
      <c r="P131" s="5"/>
      <c r="Q131" s="5" t="s">
        <v>19</v>
      </c>
      <c r="R131" s="5"/>
      <c r="S131" s="1"/>
      <c r="T131" s="1" t="str">
        <f>IF(VLOOKUP($C131,Intermediate!$C$2:$R$208,2,FALSE)=D131, "", IF(D131="x","+", "-"))</f>
        <v/>
      </c>
      <c r="U131" s="1" t="str">
        <f>IF(VLOOKUP($C131,Intermediate!$C$2:$R$208,3,FALSE)=E131, "", IF(E131="x","+", "-"))</f>
        <v/>
      </c>
      <c r="V131" s="1" t="str">
        <f>IF(VLOOKUP($C131,Intermediate!$C$2:$R$208,4,FALSE)=F131, "", IF(F131="x","+", "-"))</f>
        <v/>
      </c>
      <c r="W131" s="1" t="str">
        <f>IF(VLOOKUP($C131,Intermediate!$C$2:$R$208,5,FALSE)=G131, "", IF(G131="x","+", "-"))</f>
        <v/>
      </c>
      <c r="X131" s="1" t="str">
        <f>IF(VLOOKUP($C131,Intermediate!$C$2:$R$208,6,FALSE)=H131, "", IF(H131="x","+", "-"))</f>
        <v/>
      </c>
      <c r="Y131" s="1" t="str">
        <f>IF(VLOOKUP($C131,Intermediate!$C$2:$R$208,7,FALSE)=I131, "", IF(I131="x","+", "-"))</f>
        <v/>
      </c>
      <c r="Z131" s="1" t="str">
        <f>IF(VLOOKUP($C131,Intermediate!$C$2:$R$208,8,FALSE)=J131, "", IF(J131="x","+", "-"))</f>
        <v/>
      </c>
      <c r="AA131" s="1" t="str">
        <f>IF(VLOOKUP($C131,Intermediate!$C$2:$R$208,9,FALSE)=K131, "", IF(K131="x","+", "-"))</f>
        <v/>
      </c>
      <c r="AB131" s="1" t="str">
        <f>IF(VLOOKUP($C131,Intermediate!$C$2:$R$208,10,FALSE)=L131, "", IF(L131="x","+", "-"))</f>
        <v/>
      </c>
      <c r="AC131" s="1" t="str">
        <f>IF(VLOOKUP($C131,Intermediate!$C$2:$R$208,11,FALSE)=M131, "", IF(M131="x","+", "-"))</f>
        <v/>
      </c>
      <c r="AD131" s="1" t="str">
        <f>IF(VLOOKUP($C131,Intermediate!$C$2:$R$208,12,FALSE)=N131, "", IF(N131="x","+", "-"))</f>
        <v/>
      </c>
      <c r="AE131" s="1" t="str">
        <f>IF(VLOOKUP($C131,Intermediate!$C$2:$R$208,13,FALSE)=O131, "", IF(O131="x","+", "-"))</f>
        <v/>
      </c>
      <c r="AF131" s="1" t="str">
        <f>IF(VLOOKUP($C131,Intermediate!$C$2:$R$208,14,FALSE)=P131, "", IF(P131="x","+", "-"))</f>
        <v/>
      </c>
      <c r="AG131" s="1" t="str">
        <f>IF(VLOOKUP($C131,Intermediate!$C$2:$R$208,15,FALSE)=Q131, "", IF(Q131="x","+", "-"))</f>
        <v/>
      </c>
      <c r="AH131" s="1" t="str">
        <f>IF(VLOOKUP($C131,Intermediate!$C$2:$R$208,16,FALSE)=R131, "", IF(R131="x","+", "-"))</f>
        <v/>
      </c>
    </row>
    <row r="132" spans="1:34" ht="15" customHeight="1" x14ac:dyDescent="0.2">
      <c r="A132" s="7" t="s">
        <v>155</v>
      </c>
      <c r="B132" s="7" t="s">
        <v>49</v>
      </c>
      <c r="C132" s="9" t="str">
        <f t="shared" si="2"/>
        <v>UU Computational thinking</v>
      </c>
      <c r="D132" s="5"/>
      <c r="E132" s="5"/>
      <c r="F132" s="5"/>
      <c r="G132" s="5" t="s">
        <v>19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1"/>
      <c r="T132" s="1" t="str">
        <f>IF(VLOOKUP($C132,Intermediate!$C$2:$R$208,2,FALSE)=D132, "", IF(D132="x","+", "-"))</f>
        <v/>
      </c>
      <c r="U132" s="1" t="str">
        <f>IF(VLOOKUP($C132,Intermediate!$C$2:$R$208,3,FALSE)=E132, "", IF(E132="x","+", "-"))</f>
        <v/>
      </c>
      <c r="V132" s="1" t="str">
        <f>IF(VLOOKUP($C132,Intermediate!$C$2:$R$208,4,FALSE)=F132, "", IF(F132="x","+", "-"))</f>
        <v/>
      </c>
      <c r="W132" s="1" t="str">
        <f>IF(VLOOKUP($C132,Intermediate!$C$2:$R$208,5,FALSE)=G132, "", IF(G132="x","+", "-"))</f>
        <v/>
      </c>
      <c r="X132" s="1" t="str">
        <f>IF(VLOOKUP($C132,Intermediate!$C$2:$R$208,6,FALSE)=H132, "", IF(H132="x","+", "-"))</f>
        <v/>
      </c>
      <c r="Y132" s="1" t="str">
        <f>IF(VLOOKUP($C132,Intermediate!$C$2:$R$208,7,FALSE)=I132, "", IF(I132="x","+", "-"))</f>
        <v/>
      </c>
      <c r="Z132" s="1" t="str">
        <f>IF(VLOOKUP($C132,Intermediate!$C$2:$R$208,8,FALSE)=J132, "", IF(J132="x","+", "-"))</f>
        <v/>
      </c>
      <c r="AA132" s="1" t="str">
        <f>IF(VLOOKUP($C132,Intermediate!$C$2:$R$208,9,FALSE)=K132, "", IF(K132="x","+", "-"))</f>
        <v/>
      </c>
      <c r="AB132" s="1" t="str">
        <f>IF(VLOOKUP($C132,Intermediate!$C$2:$R$208,10,FALSE)=L132, "", IF(L132="x","+", "-"))</f>
        <v/>
      </c>
      <c r="AC132" s="1" t="str">
        <f>IF(VLOOKUP($C132,Intermediate!$C$2:$R$208,11,FALSE)=M132, "", IF(M132="x","+", "-"))</f>
        <v/>
      </c>
      <c r="AD132" s="1" t="str">
        <f>IF(VLOOKUP($C132,Intermediate!$C$2:$R$208,12,FALSE)=N132, "", IF(N132="x","+", "-"))</f>
        <v/>
      </c>
      <c r="AE132" s="1" t="str">
        <f>IF(VLOOKUP($C132,Intermediate!$C$2:$R$208,13,FALSE)=O132, "", IF(O132="x","+", "-"))</f>
        <v/>
      </c>
      <c r="AF132" s="1" t="str">
        <f>IF(VLOOKUP($C132,Intermediate!$C$2:$R$208,14,FALSE)=P132, "", IF(P132="x","+", "-"))</f>
        <v/>
      </c>
      <c r="AG132" s="1" t="str">
        <f>IF(VLOOKUP($C132,Intermediate!$C$2:$R$208,15,FALSE)=Q132, "", IF(Q132="x","+", "-"))</f>
        <v/>
      </c>
      <c r="AH132" s="1" t="str">
        <f>IF(VLOOKUP($C132,Intermediate!$C$2:$R$208,16,FALSE)=R132, "", IF(R132="x","+", "-"))</f>
        <v/>
      </c>
    </row>
    <row r="133" spans="1:34" ht="15" customHeight="1" x14ac:dyDescent="0.2">
      <c r="A133" s="7" t="s">
        <v>156</v>
      </c>
      <c r="B133" s="7" t="s">
        <v>49</v>
      </c>
      <c r="C133" s="9" t="str">
        <f t="shared" si="2"/>
        <v>UU Computationeel denken</v>
      </c>
      <c r="D133" s="5"/>
      <c r="E133" s="5"/>
      <c r="F133" s="5"/>
      <c r="G133" s="5" t="s">
        <v>19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1"/>
      <c r="T133" s="1" t="str">
        <f>IF(VLOOKUP($C133,Intermediate!$C$2:$R$208,2,FALSE)=D133, "", IF(D133="x","+", "-"))</f>
        <v/>
      </c>
      <c r="U133" s="1" t="str">
        <f>IF(VLOOKUP($C133,Intermediate!$C$2:$R$208,3,FALSE)=E133, "", IF(E133="x","+", "-"))</f>
        <v/>
      </c>
      <c r="V133" s="1" t="str">
        <f>IF(VLOOKUP($C133,Intermediate!$C$2:$R$208,4,FALSE)=F133, "", IF(F133="x","+", "-"))</f>
        <v/>
      </c>
      <c r="W133" s="1" t="str">
        <f>IF(VLOOKUP($C133,Intermediate!$C$2:$R$208,5,FALSE)=G133, "", IF(G133="x","+", "-"))</f>
        <v/>
      </c>
      <c r="X133" s="1" t="str">
        <f>IF(VLOOKUP($C133,Intermediate!$C$2:$R$208,6,FALSE)=H133, "", IF(H133="x","+", "-"))</f>
        <v/>
      </c>
      <c r="Y133" s="1" t="str">
        <f>IF(VLOOKUP($C133,Intermediate!$C$2:$R$208,7,FALSE)=I133, "", IF(I133="x","+", "-"))</f>
        <v/>
      </c>
      <c r="Z133" s="1" t="str">
        <f>IF(VLOOKUP($C133,Intermediate!$C$2:$R$208,8,FALSE)=J133, "", IF(J133="x","+", "-"))</f>
        <v/>
      </c>
      <c r="AA133" s="1" t="str">
        <f>IF(VLOOKUP($C133,Intermediate!$C$2:$R$208,9,FALSE)=K133, "", IF(K133="x","+", "-"))</f>
        <v/>
      </c>
      <c r="AB133" s="1" t="str">
        <f>IF(VLOOKUP($C133,Intermediate!$C$2:$R$208,10,FALSE)=L133, "", IF(L133="x","+", "-"))</f>
        <v/>
      </c>
      <c r="AC133" s="1" t="str">
        <f>IF(VLOOKUP($C133,Intermediate!$C$2:$R$208,11,FALSE)=M133, "", IF(M133="x","+", "-"))</f>
        <v/>
      </c>
      <c r="AD133" s="1" t="str">
        <f>IF(VLOOKUP($C133,Intermediate!$C$2:$R$208,12,FALSE)=N133, "", IF(N133="x","+", "-"))</f>
        <v/>
      </c>
      <c r="AE133" s="1" t="str">
        <f>IF(VLOOKUP($C133,Intermediate!$C$2:$R$208,13,FALSE)=O133, "", IF(O133="x","+", "-"))</f>
        <v/>
      </c>
      <c r="AF133" s="1" t="str">
        <f>IF(VLOOKUP($C133,Intermediate!$C$2:$R$208,14,FALSE)=P133, "", IF(P133="x","+", "-"))</f>
        <v/>
      </c>
      <c r="AG133" s="1" t="str">
        <f>IF(VLOOKUP($C133,Intermediate!$C$2:$R$208,15,FALSE)=Q133, "", IF(Q133="x","+", "-"))</f>
        <v/>
      </c>
      <c r="AH133" s="1" t="str">
        <f>IF(VLOOKUP($C133,Intermediate!$C$2:$R$208,16,FALSE)=R133, "", IF(R133="x","+", "-"))</f>
        <v/>
      </c>
    </row>
    <row r="134" spans="1:34" ht="15" customHeight="1" x14ac:dyDescent="0.2">
      <c r="A134" s="8" t="s">
        <v>157</v>
      </c>
      <c r="B134" s="8" t="s">
        <v>49</v>
      </c>
      <c r="C134" s="9" t="str">
        <f t="shared" si="2"/>
        <v>UU Functioneel programmeren</v>
      </c>
      <c r="D134" s="5"/>
      <c r="E134" s="5"/>
      <c r="F134" s="5"/>
      <c r="G134" s="5" t="s">
        <v>19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1"/>
      <c r="T134" s="1" t="str">
        <f>IF(VLOOKUP($C134,Intermediate!$C$2:$R$208,2,FALSE)=D134, "", IF(D134="x","+", "-"))</f>
        <v/>
      </c>
      <c r="U134" s="1" t="str">
        <f>IF(VLOOKUP($C134,Intermediate!$C$2:$R$208,3,FALSE)=E134, "", IF(E134="x","+", "-"))</f>
        <v/>
      </c>
      <c r="V134" s="1" t="str">
        <f>IF(VLOOKUP($C134,Intermediate!$C$2:$R$208,4,FALSE)=F134, "", IF(F134="x","+", "-"))</f>
        <v/>
      </c>
      <c r="W134" s="1" t="str">
        <f>IF(VLOOKUP($C134,Intermediate!$C$2:$R$208,5,FALSE)=G134, "", IF(G134="x","+", "-"))</f>
        <v/>
      </c>
      <c r="X134" s="1" t="str">
        <f>IF(VLOOKUP($C134,Intermediate!$C$2:$R$208,6,FALSE)=H134, "", IF(H134="x","+", "-"))</f>
        <v/>
      </c>
      <c r="Y134" s="1" t="str">
        <f>IF(VLOOKUP($C134,Intermediate!$C$2:$R$208,7,FALSE)=I134, "", IF(I134="x","+", "-"))</f>
        <v/>
      </c>
      <c r="Z134" s="1" t="str">
        <f>IF(VLOOKUP($C134,Intermediate!$C$2:$R$208,8,FALSE)=J134, "", IF(J134="x","+", "-"))</f>
        <v/>
      </c>
      <c r="AA134" s="1" t="str">
        <f>IF(VLOOKUP($C134,Intermediate!$C$2:$R$208,9,FALSE)=K134, "", IF(K134="x","+", "-"))</f>
        <v/>
      </c>
      <c r="AB134" s="1" t="str">
        <f>IF(VLOOKUP($C134,Intermediate!$C$2:$R$208,10,FALSE)=L134, "", IF(L134="x","+", "-"))</f>
        <v/>
      </c>
      <c r="AC134" s="1" t="str">
        <f>IF(VLOOKUP($C134,Intermediate!$C$2:$R$208,11,FALSE)=M134, "", IF(M134="x","+", "-"))</f>
        <v/>
      </c>
      <c r="AD134" s="1" t="str">
        <f>IF(VLOOKUP($C134,Intermediate!$C$2:$R$208,12,FALSE)=N134, "", IF(N134="x","+", "-"))</f>
        <v/>
      </c>
      <c r="AE134" s="1" t="str">
        <f>IF(VLOOKUP($C134,Intermediate!$C$2:$R$208,13,FALSE)=O134, "", IF(O134="x","+", "-"))</f>
        <v/>
      </c>
      <c r="AF134" s="1" t="str">
        <f>IF(VLOOKUP($C134,Intermediate!$C$2:$R$208,14,FALSE)=P134, "", IF(P134="x","+", "-"))</f>
        <v/>
      </c>
      <c r="AG134" s="1" t="str">
        <f>IF(VLOOKUP($C134,Intermediate!$C$2:$R$208,15,FALSE)=Q134, "", IF(Q134="x","+", "-"))</f>
        <v/>
      </c>
      <c r="AH134" s="1" t="str">
        <f>IF(VLOOKUP($C134,Intermediate!$C$2:$R$208,16,FALSE)=R134, "", IF(R134="x","+", "-"))</f>
        <v/>
      </c>
    </row>
    <row r="135" spans="1:34" ht="15" customHeight="1" x14ac:dyDescent="0.2">
      <c r="A135" s="8" t="s">
        <v>158</v>
      </c>
      <c r="B135" s="8" t="s">
        <v>49</v>
      </c>
      <c r="C135" s="9" t="str">
        <f t="shared" si="2"/>
        <v>UU Gameprogrammeren</v>
      </c>
      <c r="D135" s="5"/>
      <c r="E135" s="5"/>
      <c r="F135" s="5"/>
      <c r="G135" s="5" t="s">
        <v>19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1"/>
      <c r="T135" s="1" t="str">
        <f>IF(VLOOKUP($C135,Intermediate!$C$2:$R$208,2,FALSE)=D135, "", IF(D135="x","+", "-"))</f>
        <v/>
      </c>
      <c r="U135" s="1" t="str">
        <f>IF(VLOOKUP($C135,Intermediate!$C$2:$R$208,3,FALSE)=E135, "", IF(E135="x","+", "-"))</f>
        <v/>
      </c>
      <c r="V135" s="1" t="str">
        <f>IF(VLOOKUP($C135,Intermediate!$C$2:$R$208,4,FALSE)=F135, "", IF(F135="x","+", "-"))</f>
        <v/>
      </c>
      <c r="W135" s="1" t="str">
        <f>IF(VLOOKUP($C135,Intermediate!$C$2:$R$208,5,FALSE)=G135, "", IF(G135="x","+", "-"))</f>
        <v/>
      </c>
      <c r="X135" s="1" t="str">
        <f>IF(VLOOKUP($C135,Intermediate!$C$2:$R$208,6,FALSE)=H135, "", IF(H135="x","+", "-"))</f>
        <v/>
      </c>
      <c r="Y135" s="1" t="str">
        <f>IF(VLOOKUP($C135,Intermediate!$C$2:$R$208,7,FALSE)=I135, "", IF(I135="x","+", "-"))</f>
        <v/>
      </c>
      <c r="Z135" s="1" t="str">
        <f>IF(VLOOKUP($C135,Intermediate!$C$2:$R$208,8,FALSE)=J135, "", IF(J135="x","+", "-"))</f>
        <v/>
      </c>
      <c r="AA135" s="1" t="str">
        <f>IF(VLOOKUP($C135,Intermediate!$C$2:$R$208,9,FALSE)=K135, "", IF(K135="x","+", "-"))</f>
        <v/>
      </c>
      <c r="AB135" s="1" t="str">
        <f>IF(VLOOKUP($C135,Intermediate!$C$2:$R$208,10,FALSE)=L135, "", IF(L135="x","+", "-"))</f>
        <v/>
      </c>
      <c r="AC135" s="1" t="str">
        <f>IF(VLOOKUP($C135,Intermediate!$C$2:$R$208,11,FALSE)=M135, "", IF(M135="x","+", "-"))</f>
        <v/>
      </c>
      <c r="AD135" s="1" t="str">
        <f>IF(VLOOKUP($C135,Intermediate!$C$2:$R$208,12,FALSE)=N135, "", IF(N135="x","+", "-"))</f>
        <v/>
      </c>
      <c r="AE135" s="1" t="str">
        <f>IF(VLOOKUP($C135,Intermediate!$C$2:$R$208,13,FALSE)=O135, "", IF(O135="x","+", "-"))</f>
        <v/>
      </c>
      <c r="AF135" s="1" t="str">
        <f>IF(VLOOKUP($C135,Intermediate!$C$2:$R$208,14,FALSE)=P135, "", IF(P135="x","+", "-"))</f>
        <v/>
      </c>
      <c r="AG135" s="1" t="str">
        <f>IF(VLOOKUP($C135,Intermediate!$C$2:$R$208,15,FALSE)=Q135, "", IF(Q135="x","+", "-"))</f>
        <v/>
      </c>
      <c r="AH135" s="1" t="str">
        <f>IF(VLOOKUP($C135,Intermediate!$C$2:$R$208,16,FALSE)=R135, "", IF(R135="x","+", "-"))</f>
        <v/>
      </c>
    </row>
    <row r="136" spans="1:34" ht="15" customHeight="1" x14ac:dyDescent="0.2">
      <c r="A136" s="8" t="s">
        <v>159</v>
      </c>
      <c r="B136" s="8" t="s">
        <v>49</v>
      </c>
      <c r="C136" s="9" t="str">
        <f t="shared" si="2"/>
        <v>UU Gametechnologie introductieproject</v>
      </c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1"/>
      <c r="T136" s="1" t="str">
        <f>IF(VLOOKUP($C136,Intermediate!$C$2:$R$208,2,FALSE)=D136, "", IF(D136="x","+", "-"))</f>
        <v/>
      </c>
      <c r="U136" s="1" t="str">
        <f>IF(VLOOKUP($C136,Intermediate!$C$2:$R$208,3,FALSE)=E136, "", IF(E136="x","+", "-"))</f>
        <v/>
      </c>
      <c r="V136" s="1" t="str">
        <f>IF(VLOOKUP($C136,Intermediate!$C$2:$R$208,4,FALSE)=F136, "", IF(F136="x","+", "-"))</f>
        <v/>
      </c>
      <c r="W136" s="1" t="str">
        <f>IF(VLOOKUP($C136,Intermediate!$C$2:$R$208,5,FALSE)=G136, "", IF(G136="x","+", "-"))</f>
        <v/>
      </c>
      <c r="X136" s="1" t="str">
        <f>IF(VLOOKUP($C136,Intermediate!$C$2:$R$208,6,FALSE)=H136, "", IF(H136="x","+", "-"))</f>
        <v/>
      </c>
      <c r="Y136" s="1" t="str">
        <f>IF(VLOOKUP($C136,Intermediate!$C$2:$R$208,7,FALSE)=I136, "", IF(I136="x","+", "-"))</f>
        <v/>
      </c>
      <c r="Z136" s="1" t="str">
        <f>IF(VLOOKUP($C136,Intermediate!$C$2:$R$208,8,FALSE)=J136, "", IF(J136="x","+", "-"))</f>
        <v/>
      </c>
      <c r="AA136" s="1" t="str">
        <f>IF(VLOOKUP($C136,Intermediate!$C$2:$R$208,9,FALSE)=K136, "", IF(K136="x","+", "-"))</f>
        <v/>
      </c>
      <c r="AB136" s="1" t="str">
        <f>IF(VLOOKUP($C136,Intermediate!$C$2:$R$208,10,FALSE)=L136, "", IF(L136="x","+", "-"))</f>
        <v/>
      </c>
      <c r="AC136" s="1" t="str">
        <f>IF(VLOOKUP($C136,Intermediate!$C$2:$R$208,11,FALSE)=M136, "", IF(M136="x","+", "-"))</f>
        <v/>
      </c>
      <c r="AD136" s="1" t="str">
        <f>IF(VLOOKUP($C136,Intermediate!$C$2:$R$208,12,FALSE)=N136, "", IF(N136="x","+", "-"))</f>
        <v/>
      </c>
      <c r="AE136" s="1" t="str">
        <f>IF(VLOOKUP($C136,Intermediate!$C$2:$R$208,13,FALSE)=O136, "", IF(O136="x","+", "-"))</f>
        <v/>
      </c>
      <c r="AF136" s="1" t="str">
        <f>IF(VLOOKUP($C136,Intermediate!$C$2:$R$208,14,FALSE)=P136, "", IF(P136="x","+", "-"))</f>
        <v/>
      </c>
      <c r="AG136" s="1" t="str">
        <f>IF(VLOOKUP($C136,Intermediate!$C$2:$R$208,15,FALSE)=Q136, "", IF(Q136="x","+", "-"))</f>
        <v/>
      </c>
      <c r="AH136" s="1" t="str">
        <f>IF(VLOOKUP($C136,Intermediate!$C$2:$R$208,16,FALSE)=R136, "", IF(R136="x","+", "-"))</f>
        <v/>
      </c>
    </row>
    <row r="137" spans="1:34" ht="15" customHeight="1" x14ac:dyDescent="0.2">
      <c r="A137" s="8" t="s">
        <v>160</v>
      </c>
      <c r="B137" s="8" t="s">
        <v>49</v>
      </c>
      <c r="C137" s="9" t="str">
        <f t="shared" si="2"/>
        <v>UU Imperatief programmeren</v>
      </c>
      <c r="D137" s="5"/>
      <c r="E137" s="5"/>
      <c r="F137" s="5"/>
      <c r="G137" s="5" t="s">
        <v>19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1"/>
      <c r="T137" s="1" t="str">
        <f>IF(VLOOKUP($C137,Intermediate!$C$2:$R$208,2,FALSE)=D137, "", IF(D137="x","+", "-"))</f>
        <v/>
      </c>
      <c r="U137" s="1" t="str">
        <f>IF(VLOOKUP($C137,Intermediate!$C$2:$R$208,3,FALSE)=E137, "", IF(E137="x","+", "-"))</f>
        <v/>
      </c>
      <c r="V137" s="1" t="str">
        <f>IF(VLOOKUP($C137,Intermediate!$C$2:$R$208,4,FALSE)=F137, "", IF(F137="x","+", "-"))</f>
        <v/>
      </c>
      <c r="W137" s="1" t="str">
        <f>IF(VLOOKUP($C137,Intermediate!$C$2:$R$208,5,FALSE)=G137, "", IF(G137="x","+", "-"))</f>
        <v/>
      </c>
      <c r="X137" s="1" t="str">
        <f>IF(VLOOKUP($C137,Intermediate!$C$2:$R$208,6,FALSE)=H137, "", IF(H137="x","+", "-"))</f>
        <v/>
      </c>
      <c r="Y137" s="1" t="str">
        <f>IF(VLOOKUP($C137,Intermediate!$C$2:$R$208,7,FALSE)=I137, "", IF(I137="x","+", "-"))</f>
        <v/>
      </c>
      <c r="Z137" s="1" t="str">
        <f>IF(VLOOKUP($C137,Intermediate!$C$2:$R$208,8,FALSE)=J137, "", IF(J137="x","+", "-"))</f>
        <v/>
      </c>
      <c r="AA137" s="1" t="str">
        <f>IF(VLOOKUP($C137,Intermediate!$C$2:$R$208,9,FALSE)=K137, "", IF(K137="x","+", "-"))</f>
        <v/>
      </c>
      <c r="AB137" s="1" t="str">
        <f>IF(VLOOKUP($C137,Intermediate!$C$2:$R$208,10,FALSE)=L137, "", IF(L137="x","+", "-"))</f>
        <v/>
      </c>
      <c r="AC137" s="1" t="str">
        <f>IF(VLOOKUP($C137,Intermediate!$C$2:$R$208,11,FALSE)=M137, "", IF(M137="x","+", "-"))</f>
        <v/>
      </c>
      <c r="AD137" s="1" t="str">
        <f>IF(VLOOKUP($C137,Intermediate!$C$2:$R$208,12,FALSE)=N137, "", IF(N137="x","+", "-"))</f>
        <v/>
      </c>
      <c r="AE137" s="1" t="str">
        <f>IF(VLOOKUP($C137,Intermediate!$C$2:$R$208,13,FALSE)=O137, "", IF(O137="x","+", "-"))</f>
        <v/>
      </c>
      <c r="AF137" s="1" t="str">
        <f>IF(VLOOKUP($C137,Intermediate!$C$2:$R$208,14,FALSE)=P137, "", IF(P137="x","+", "-"))</f>
        <v/>
      </c>
      <c r="AG137" s="1" t="str">
        <f>IF(VLOOKUP($C137,Intermediate!$C$2:$R$208,15,FALSE)=Q137, "", IF(Q137="x","+", "-"))</f>
        <v/>
      </c>
      <c r="AH137" s="1" t="str">
        <f>IF(VLOOKUP($C137,Intermediate!$C$2:$R$208,16,FALSE)=R137, "", IF(R137="x","+", "-"))</f>
        <v/>
      </c>
    </row>
    <row r="138" spans="1:34" ht="15" customHeight="1" x14ac:dyDescent="0.2">
      <c r="A138" s="8" t="s">
        <v>161</v>
      </c>
      <c r="B138" s="8" t="s">
        <v>49</v>
      </c>
      <c r="C138" s="9" t="str">
        <f t="shared" si="2"/>
        <v>UU Informatica introductieproject</v>
      </c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1"/>
      <c r="T138" s="1" t="str">
        <f>IF(VLOOKUP($C138,Intermediate!$C$2:$R$208,2,FALSE)=D138, "", IF(D138="x","+", "-"))</f>
        <v/>
      </c>
      <c r="U138" s="1" t="str">
        <f>IF(VLOOKUP($C138,Intermediate!$C$2:$R$208,3,FALSE)=E138, "", IF(E138="x","+", "-"))</f>
        <v/>
      </c>
      <c r="V138" s="1" t="str">
        <f>IF(VLOOKUP($C138,Intermediate!$C$2:$R$208,4,FALSE)=F138, "", IF(F138="x","+", "-"))</f>
        <v/>
      </c>
      <c r="W138" s="1" t="str">
        <f>IF(VLOOKUP($C138,Intermediate!$C$2:$R$208,5,FALSE)=G138, "", IF(G138="x","+", "-"))</f>
        <v/>
      </c>
      <c r="X138" s="1" t="str">
        <f>IF(VLOOKUP($C138,Intermediate!$C$2:$R$208,6,FALSE)=H138, "", IF(H138="x","+", "-"))</f>
        <v/>
      </c>
      <c r="Y138" s="1" t="str">
        <f>IF(VLOOKUP($C138,Intermediate!$C$2:$R$208,7,FALSE)=I138, "", IF(I138="x","+", "-"))</f>
        <v/>
      </c>
      <c r="Z138" s="1" t="str">
        <f>IF(VLOOKUP($C138,Intermediate!$C$2:$R$208,8,FALSE)=J138, "", IF(J138="x","+", "-"))</f>
        <v/>
      </c>
      <c r="AA138" s="1" t="str">
        <f>IF(VLOOKUP($C138,Intermediate!$C$2:$R$208,9,FALSE)=K138, "", IF(K138="x","+", "-"))</f>
        <v/>
      </c>
      <c r="AB138" s="1" t="str">
        <f>IF(VLOOKUP($C138,Intermediate!$C$2:$R$208,10,FALSE)=L138, "", IF(L138="x","+", "-"))</f>
        <v/>
      </c>
      <c r="AC138" s="1" t="str">
        <f>IF(VLOOKUP($C138,Intermediate!$C$2:$R$208,11,FALSE)=M138, "", IF(M138="x","+", "-"))</f>
        <v/>
      </c>
      <c r="AD138" s="1" t="str">
        <f>IF(VLOOKUP($C138,Intermediate!$C$2:$R$208,12,FALSE)=N138, "", IF(N138="x","+", "-"))</f>
        <v/>
      </c>
      <c r="AE138" s="1" t="str">
        <f>IF(VLOOKUP($C138,Intermediate!$C$2:$R$208,13,FALSE)=O138, "", IF(O138="x","+", "-"))</f>
        <v/>
      </c>
      <c r="AF138" s="1" t="str">
        <f>IF(VLOOKUP($C138,Intermediate!$C$2:$R$208,14,FALSE)=P138, "", IF(P138="x","+", "-"))</f>
        <v/>
      </c>
      <c r="AG138" s="1" t="str">
        <f>IF(VLOOKUP($C138,Intermediate!$C$2:$R$208,15,FALSE)=Q138, "", IF(Q138="x","+", "-"))</f>
        <v/>
      </c>
      <c r="AH138" s="1" t="str">
        <f>IF(VLOOKUP($C138,Intermediate!$C$2:$R$208,16,FALSE)=R138, "", IF(R138="x","+", "-"))</f>
        <v/>
      </c>
    </row>
    <row r="139" spans="1:34" ht="15" customHeight="1" x14ac:dyDescent="0.2">
      <c r="A139" s="8" t="s">
        <v>162</v>
      </c>
      <c r="B139" s="8" t="s">
        <v>49</v>
      </c>
      <c r="C139" s="9" t="str">
        <f t="shared" si="2"/>
        <v>UU Informatica softwareproject</v>
      </c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1"/>
      <c r="T139" s="1" t="str">
        <f>IF(VLOOKUP($C139,Intermediate!$C$2:$R$208,2,FALSE)=D139, "", IF(D139="x","+", "-"))</f>
        <v/>
      </c>
      <c r="U139" s="1" t="str">
        <f>IF(VLOOKUP($C139,Intermediate!$C$2:$R$208,3,FALSE)=E139, "", IF(E139="x","+", "-"))</f>
        <v/>
      </c>
      <c r="V139" s="1" t="str">
        <f>IF(VLOOKUP($C139,Intermediate!$C$2:$R$208,4,FALSE)=F139, "", IF(F139="x","+", "-"))</f>
        <v/>
      </c>
      <c r="W139" s="1" t="str">
        <f>IF(VLOOKUP($C139,Intermediate!$C$2:$R$208,5,FALSE)=G139, "", IF(G139="x","+", "-"))</f>
        <v/>
      </c>
      <c r="X139" s="1" t="str">
        <f>IF(VLOOKUP($C139,Intermediate!$C$2:$R$208,6,FALSE)=H139, "", IF(H139="x","+", "-"))</f>
        <v/>
      </c>
      <c r="Y139" s="1" t="str">
        <f>IF(VLOOKUP($C139,Intermediate!$C$2:$R$208,7,FALSE)=I139, "", IF(I139="x","+", "-"))</f>
        <v/>
      </c>
      <c r="Z139" s="1" t="str">
        <f>IF(VLOOKUP($C139,Intermediate!$C$2:$R$208,8,FALSE)=J139, "", IF(J139="x","+", "-"))</f>
        <v/>
      </c>
      <c r="AA139" s="1" t="str">
        <f>IF(VLOOKUP($C139,Intermediate!$C$2:$R$208,9,FALSE)=K139, "", IF(K139="x","+", "-"))</f>
        <v/>
      </c>
      <c r="AB139" s="1" t="str">
        <f>IF(VLOOKUP($C139,Intermediate!$C$2:$R$208,10,FALSE)=L139, "", IF(L139="x","+", "-"))</f>
        <v/>
      </c>
      <c r="AC139" s="1" t="str">
        <f>IF(VLOOKUP($C139,Intermediate!$C$2:$R$208,11,FALSE)=M139, "", IF(M139="x","+", "-"))</f>
        <v/>
      </c>
      <c r="AD139" s="1" t="str">
        <f>IF(VLOOKUP($C139,Intermediate!$C$2:$R$208,12,FALSE)=N139, "", IF(N139="x","+", "-"))</f>
        <v/>
      </c>
      <c r="AE139" s="1" t="str">
        <f>IF(VLOOKUP($C139,Intermediate!$C$2:$R$208,13,FALSE)=O139, "", IF(O139="x","+", "-"))</f>
        <v/>
      </c>
      <c r="AF139" s="1" t="str">
        <f>IF(VLOOKUP($C139,Intermediate!$C$2:$R$208,14,FALSE)=P139, "", IF(P139="x","+", "-"))</f>
        <v/>
      </c>
      <c r="AG139" s="1" t="str">
        <f>IF(VLOOKUP($C139,Intermediate!$C$2:$R$208,15,FALSE)=Q139, "", IF(Q139="x","+", "-"))</f>
        <v/>
      </c>
      <c r="AH139" s="1" t="str">
        <f>IF(VLOOKUP($C139,Intermediate!$C$2:$R$208,16,FALSE)=R139, "", IF(R139="x","+", "-"))</f>
        <v/>
      </c>
    </row>
    <row r="140" spans="1:34" ht="15" customHeight="1" x14ac:dyDescent="0.2">
      <c r="A140" s="7" t="s">
        <v>163</v>
      </c>
      <c r="B140" s="7" t="s">
        <v>49</v>
      </c>
      <c r="C140" s="9" t="str">
        <f t="shared" si="2"/>
        <v>UU Information security</v>
      </c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 t="s">
        <v>19</v>
      </c>
      <c r="P140" s="5"/>
      <c r="Q140" s="5"/>
      <c r="R140" s="5"/>
      <c r="S140" s="1"/>
      <c r="T140" s="1" t="str">
        <f>IF(VLOOKUP($C140,Intermediate!$C$2:$R$208,2,FALSE)=D140, "", IF(D140="x","+", "-"))</f>
        <v/>
      </c>
      <c r="U140" s="1" t="str">
        <f>IF(VLOOKUP($C140,Intermediate!$C$2:$R$208,3,FALSE)=E140, "", IF(E140="x","+", "-"))</f>
        <v/>
      </c>
      <c r="V140" s="1" t="str">
        <f>IF(VLOOKUP($C140,Intermediate!$C$2:$R$208,4,FALSE)=F140, "", IF(F140="x","+", "-"))</f>
        <v/>
      </c>
      <c r="W140" s="1" t="str">
        <f>IF(VLOOKUP($C140,Intermediate!$C$2:$R$208,5,FALSE)=G140, "", IF(G140="x","+", "-"))</f>
        <v/>
      </c>
      <c r="X140" s="1" t="str">
        <f>IF(VLOOKUP($C140,Intermediate!$C$2:$R$208,6,FALSE)=H140, "", IF(H140="x","+", "-"))</f>
        <v/>
      </c>
      <c r="Y140" s="1" t="str">
        <f>IF(VLOOKUP($C140,Intermediate!$C$2:$R$208,7,FALSE)=I140, "", IF(I140="x","+", "-"))</f>
        <v/>
      </c>
      <c r="Z140" s="1" t="str">
        <f>IF(VLOOKUP($C140,Intermediate!$C$2:$R$208,8,FALSE)=J140, "", IF(J140="x","+", "-"))</f>
        <v/>
      </c>
      <c r="AA140" s="1" t="str">
        <f>IF(VLOOKUP($C140,Intermediate!$C$2:$R$208,9,FALSE)=K140, "", IF(K140="x","+", "-"))</f>
        <v/>
      </c>
      <c r="AB140" s="1" t="str">
        <f>IF(VLOOKUP($C140,Intermediate!$C$2:$R$208,10,FALSE)=L140, "", IF(L140="x","+", "-"))</f>
        <v/>
      </c>
      <c r="AC140" s="1" t="str">
        <f>IF(VLOOKUP($C140,Intermediate!$C$2:$R$208,11,FALSE)=M140, "", IF(M140="x","+", "-"))</f>
        <v/>
      </c>
      <c r="AD140" s="1" t="str">
        <f>IF(VLOOKUP($C140,Intermediate!$C$2:$R$208,12,FALSE)=N140, "", IF(N140="x","+", "-"))</f>
        <v/>
      </c>
      <c r="AE140" s="1" t="str">
        <f>IF(VLOOKUP($C140,Intermediate!$C$2:$R$208,13,FALSE)=O140, "", IF(O140="x","+", "-"))</f>
        <v/>
      </c>
      <c r="AF140" s="1" t="str">
        <f>IF(VLOOKUP($C140,Intermediate!$C$2:$R$208,14,FALSE)=P140, "", IF(P140="x","+", "-"))</f>
        <v/>
      </c>
      <c r="AG140" s="1" t="str">
        <f>IF(VLOOKUP($C140,Intermediate!$C$2:$R$208,15,FALSE)=Q140, "", IF(Q140="x","+", "-"))</f>
        <v/>
      </c>
      <c r="AH140" s="1" t="str">
        <f>IF(VLOOKUP($C140,Intermediate!$C$2:$R$208,16,FALSE)=R140, "", IF(R140="x","+", "-"))</f>
        <v/>
      </c>
    </row>
    <row r="141" spans="1:34" ht="15" customHeight="1" x14ac:dyDescent="0.2">
      <c r="A141" s="7" t="s">
        <v>164</v>
      </c>
      <c r="B141" s="7" t="s">
        <v>49</v>
      </c>
      <c r="C141" s="9" t="str">
        <f t="shared" si="2"/>
        <v>UU Modelleren en programmeren</v>
      </c>
      <c r="D141" s="5"/>
      <c r="E141" s="5"/>
      <c r="F141" s="12"/>
      <c r="G141" s="5" t="s">
        <v>19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1"/>
      <c r="T141" s="1" t="str">
        <f>IF(VLOOKUP($C141,Intermediate!$C$2:$R$208,2,FALSE)=D141, "", IF(D141="x","+", "-"))</f>
        <v/>
      </c>
      <c r="U141" s="1" t="str">
        <f>IF(VLOOKUP($C141,Intermediate!$C$2:$R$208,3,FALSE)=E141, "", IF(E141="x","+", "-"))</f>
        <v/>
      </c>
      <c r="V141" s="1" t="str">
        <f>IF(VLOOKUP($C141,Intermediate!$C$2:$R$208,4,FALSE)=F141, "", IF(F141="x","+", "-"))</f>
        <v/>
      </c>
      <c r="W141" s="1" t="str">
        <f>IF(VLOOKUP($C141,Intermediate!$C$2:$R$208,5,FALSE)=G141, "", IF(G141="x","+", "-"))</f>
        <v/>
      </c>
      <c r="X141" s="1" t="str">
        <f>IF(VLOOKUP($C141,Intermediate!$C$2:$R$208,6,FALSE)=H141, "", IF(H141="x","+", "-"))</f>
        <v/>
      </c>
      <c r="Y141" s="1" t="str">
        <f>IF(VLOOKUP($C141,Intermediate!$C$2:$R$208,7,FALSE)=I141, "", IF(I141="x","+", "-"))</f>
        <v/>
      </c>
      <c r="Z141" s="1" t="str">
        <f>IF(VLOOKUP($C141,Intermediate!$C$2:$R$208,8,FALSE)=J141, "", IF(J141="x","+", "-"))</f>
        <v/>
      </c>
      <c r="AA141" s="1" t="str">
        <f>IF(VLOOKUP($C141,Intermediate!$C$2:$R$208,9,FALSE)=K141, "", IF(K141="x","+", "-"))</f>
        <v/>
      </c>
      <c r="AB141" s="1" t="str">
        <f>IF(VLOOKUP($C141,Intermediate!$C$2:$R$208,10,FALSE)=L141, "", IF(L141="x","+", "-"))</f>
        <v/>
      </c>
      <c r="AC141" s="1" t="str">
        <f>IF(VLOOKUP($C141,Intermediate!$C$2:$R$208,11,FALSE)=M141, "", IF(M141="x","+", "-"))</f>
        <v/>
      </c>
      <c r="AD141" s="1" t="str">
        <f>IF(VLOOKUP($C141,Intermediate!$C$2:$R$208,12,FALSE)=N141, "", IF(N141="x","+", "-"))</f>
        <v/>
      </c>
      <c r="AE141" s="1" t="str">
        <f>IF(VLOOKUP($C141,Intermediate!$C$2:$R$208,13,FALSE)=O141, "", IF(O141="x","+", "-"))</f>
        <v/>
      </c>
      <c r="AF141" s="1" t="str">
        <f>IF(VLOOKUP($C141,Intermediate!$C$2:$R$208,14,FALSE)=P141, "", IF(P141="x","+", "-"))</f>
        <v/>
      </c>
      <c r="AG141" s="1" t="str">
        <f>IF(VLOOKUP($C141,Intermediate!$C$2:$R$208,15,FALSE)=Q141, "", IF(Q141="x","+", "-"))</f>
        <v/>
      </c>
      <c r="AH141" s="1" t="str">
        <f>IF(VLOOKUP($C141,Intermediate!$C$2:$R$208,16,FALSE)=R141, "", IF(R141="x","+", "-"))</f>
        <v/>
      </c>
    </row>
    <row r="142" spans="1:34" ht="15" customHeight="1" x14ac:dyDescent="0.2">
      <c r="A142" s="8" t="s">
        <v>51</v>
      </c>
      <c r="B142" s="8" t="s">
        <v>49</v>
      </c>
      <c r="C142" s="9" t="str">
        <f t="shared" si="2"/>
        <v>UU Modelleren en systeemontwikkeling</v>
      </c>
      <c r="D142" s="5" t="s">
        <v>19</v>
      </c>
      <c r="E142" s="12"/>
      <c r="F142" s="5" t="s">
        <v>19</v>
      </c>
      <c r="G142" s="5" t="s">
        <v>19</v>
      </c>
      <c r="H142" s="5" t="s">
        <v>19</v>
      </c>
      <c r="I142" s="5" t="s">
        <v>19</v>
      </c>
      <c r="J142" s="5"/>
      <c r="K142" s="5"/>
      <c r="L142" s="5"/>
      <c r="M142" s="5" t="s">
        <v>19</v>
      </c>
      <c r="N142" s="5" t="s">
        <v>19</v>
      </c>
      <c r="O142" s="5"/>
      <c r="P142" s="5"/>
      <c r="Q142" s="5"/>
      <c r="R142" s="5"/>
      <c r="S142" s="1"/>
      <c r="T142" s="1" t="str">
        <f>IF(VLOOKUP($C142,Intermediate!$C$2:$R$208,2,FALSE)=D142, "", IF(D142="x","+", "-"))</f>
        <v/>
      </c>
      <c r="U142" s="1" t="str">
        <f>IF(VLOOKUP($C142,Intermediate!$C$2:$R$208,3,FALSE)=E142, "", IF(E142="x","+", "-"))</f>
        <v/>
      </c>
      <c r="V142" s="1" t="str">
        <f>IF(VLOOKUP($C142,Intermediate!$C$2:$R$208,4,FALSE)=F142, "", IF(F142="x","+", "-"))</f>
        <v/>
      </c>
      <c r="W142" s="1" t="str">
        <f>IF(VLOOKUP($C142,Intermediate!$C$2:$R$208,5,FALSE)=G142, "", IF(G142="x","+", "-"))</f>
        <v/>
      </c>
      <c r="X142" s="1" t="str">
        <f>IF(VLOOKUP($C142,Intermediate!$C$2:$R$208,6,FALSE)=H142, "", IF(H142="x","+", "-"))</f>
        <v/>
      </c>
      <c r="Y142" s="1" t="str">
        <f>IF(VLOOKUP($C142,Intermediate!$C$2:$R$208,7,FALSE)=I142, "", IF(I142="x","+", "-"))</f>
        <v/>
      </c>
      <c r="Z142" s="1" t="str">
        <f>IF(VLOOKUP($C142,Intermediate!$C$2:$R$208,8,FALSE)=J142, "", IF(J142="x","+", "-"))</f>
        <v/>
      </c>
      <c r="AA142" s="1" t="str">
        <f>IF(VLOOKUP($C142,Intermediate!$C$2:$R$208,9,FALSE)=K142, "", IF(K142="x","+", "-"))</f>
        <v/>
      </c>
      <c r="AB142" s="1" t="str">
        <f>IF(VLOOKUP($C142,Intermediate!$C$2:$R$208,10,FALSE)=L142, "", IF(L142="x","+", "-"))</f>
        <v/>
      </c>
      <c r="AC142" s="1" t="str">
        <f>IF(VLOOKUP($C142,Intermediate!$C$2:$R$208,11,FALSE)=M142, "", IF(M142="x","+", "-"))</f>
        <v/>
      </c>
      <c r="AD142" s="1" t="str">
        <f>IF(VLOOKUP($C142,Intermediate!$C$2:$R$208,12,FALSE)=N142, "", IF(N142="x","+", "-"))</f>
        <v/>
      </c>
      <c r="AE142" s="1" t="str">
        <f>IF(VLOOKUP($C142,Intermediate!$C$2:$R$208,13,FALSE)=O142, "", IF(O142="x","+", "-"))</f>
        <v/>
      </c>
      <c r="AF142" s="1" t="str">
        <f>IF(VLOOKUP($C142,Intermediate!$C$2:$R$208,14,FALSE)=P142, "", IF(P142="x","+", "-"))</f>
        <v/>
      </c>
      <c r="AG142" s="1" t="str">
        <f>IF(VLOOKUP($C142,Intermediate!$C$2:$R$208,15,FALSE)=Q142, "", IF(Q142="x","+", "-"))</f>
        <v/>
      </c>
      <c r="AH142" s="1" t="str">
        <f>IF(VLOOKUP($C142,Intermediate!$C$2:$R$208,16,FALSE)=R142, "", IF(R142="x","+", "-"))</f>
        <v/>
      </c>
    </row>
    <row r="143" spans="1:34" ht="15" customHeight="1" x14ac:dyDescent="0.2">
      <c r="A143" s="8" t="s">
        <v>166</v>
      </c>
      <c r="B143" s="8" t="s">
        <v>49</v>
      </c>
      <c r="C143" s="9" t="str">
        <f t="shared" si="2"/>
        <v>UU Product software</v>
      </c>
      <c r="D143" s="12"/>
      <c r="E143" s="4" t="s">
        <v>19</v>
      </c>
      <c r="F143" s="5"/>
      <c r="G143" s="5"/>
      <c r="H143" s="5"/>
      <c r="I143" s="5"/>
      <c r="J143" s="5"/>
      <c r="K143" s="5"/>
      <c r="L143" s="5"/>
      <c r="M143" s="5"/>
      <c r="N143" s="5" t="s">
        <v>19</v>
      </c>
      <c r="O143" s="12"/>
      <c r="P143" s="5" t="s">
        <v>19</v>
      </c>
      <c r="Q143" s="5"/>
      <c r="R143" s="5"/>
      <c r="S143" s="7"/>
      <c r="T143" s="1" t="str">
        <f>IF(VLOOKUP($C143,Intermediate!$C$2:$R$208,2,FALSE)=D143, "", IF(D143="x","+", "-"))</f>
        <v/>
      </c>
      <c r="U143" s="1" t="str">
        <f>IF(VLOOKUP($C143,Intermediate!$C$2:$R$208,3,FALSE)=E143, "", IF(E143="x","+", "-"))</f>
        <v/>
      </c>
      <c r="V143" s="1" t="str">
        <f>IF(VLOOKUP($C143,Intermediate!$C$2:$R$208,4,FALSE)=F143, "", IF(F143="x","+", "-"))</f>
        <v/>
      </c>
      <c r="W143" s="1" t="str">
        <f>IF(VLOOKUP($C143,Intermediate!$C$2:$R$208,5,FALSE)=G143, "", IF(G143="x","+", "-"))</f>
        <v/>
      </c>
      <c r="X143" s="1" t="str">
        <f>IF(VLOOKUP($C143,Intermediate!$C$2:$R$208,6,FALSE)=H143, "", IF(H143="x","+", "-"))</f>
        <v/>
      </c>
      <c r="Y143" s="1" t="str">
        <f>IF(VLOOKUP($C143,Intermediate!$C$2:$R$208,7,FALSE)=I143, "", IF(I143="x","+", "-"))</f>
        <v/>
      </c>
      <c r="Z143" s="1" t="str">
        <f>IF(VLOOKUP($C143,Intermediate!$C$2:$R$208,8,FALSE)=J143, "", IF(J143="x","+", "-"))</f>
        <v/>
      </c>
      <c r="AA143" s="1" t="str">
        <f>IF(VLOOKUP($C143,Intermediate!$C$2:$R$208,9,FALSE)=K143, "", IF(K143="x","+", "-"))</f>
        <v/>
      </c>
      <c r="AB143" s="1" t="str">
        <f>IF(VLOOKUP($C143,Intermediate!$C$2:$R$208,10,FALSE)=L143, "", IF(L143="x","+", "-"))</f>
        <v/>
      </c>
      <c r="AC143" s="1" t="str">
        <f>IF(VLOOKUP($C143,Intermediate!$C$2:$R$208,11,FALSE)=M143, "", IF(M143="x","+", "-"))</f>
        <v/>
      </c>
      <c r="AD143" s="1" t="str">
        <f>IF(VLOOKUP($C143,Intermediate!$C$2:$R$208,12,FALSE)=N143, "", IF(N143="x","+", "-"))</f>
        <v/>
      </c>
      <c r="AE143" s="1" t="str">
        <f>IF(VLOOKUP($C143,Intermediate!$C$2:$R$208,13,FALSE)=O143, "", IF(O143="x","+", "-"))</f>
        <v/>
      </c>
      <c r="AF143" s="1" t="str">
        <f>IF(VLOOKUP($C143,Intermediate!$C$2:$R$208,14,FALSE)=P143, "", IF(P143="x","+", "-"))</f>
        <v/>
      </c>
      <c r="AG143" s="1" t="str">
        <f>IF(VLOOKUP($C143,Intermediate!$C$2:$R$208,15,FALSE)=Q143, "", IF(Q143="x","+", "-"))</f>
        <v/>
      </c>
      <c r="AH143" s="1" t="str">
        <f>IF(VLOOKUP($C143,Intermediate!$C$2:$R$208,16,FALSE)=R143, "", IF(R143="x","+", "-"))</f>
        <v/>
      </c>
    </row>
    <row r="144" spans="1:34" ht="15" customHeight="1" x14ac:dyDescent="0.2">
      <c r="A144" s="8" t="s">
        <v>195</v>
      </c>
      <c r="B144" s="8" t="s">
        <v>49</v>
      </c>
      <c r="C144" s="9" t="str">
        <f t="shared" si="2"/>
        <v>UU Software testing en verificatie</v>
      </c>
      <c r="D144" s="5"/>
      <c r="E144" s="5"/>
      <c r="F144" s="5"/>
      <c r="G144" s="5"/>
      <c r="H144" s="5" t="s">
        <v>19</v>
      </c>
      <c r="I144" s="5"/>
      <c r="J144" s="5"/>
      <c r="K144" s="5"/>
      <c r="L144" s="5"/>
      <c r="M144" s="5"/>
      <c r="N144" s="5"/>
      <c r="O144" s="5"/>
      <c r="P144" s="5"/>
      <c r="Q144" s="5" t="s">
        <v>19</v>
      </c>
      <c r="R144" s="5"/>
      <c r="S144" s="1"/>
      <c r="T144" s="1" t="str">
        <f>IF(VLOOKUP($C144,Intermediate!$C$2:$R$208,2,FALSE)=D144, "", IF(D144="x","+", "-"))</f>
        <v/>
      </c>
      <c r="U144" s="1" t="str">
        <f>IF(VLOOKUP($C144,Intermediate!$C$2:$R$208,3,FALSE)=E144, "", IF(E144="x","+", "-"))</f>
        <v/>
      </c>
      <c r="V144" s="1" t="str">
        <f>IF(VLOOKUP($C144,Intermediate!$C$2:$R$208,4,FALSE)=F144, "", IF(F144="x","+", "-"))</f>
        <v/>
      </c>
      <c r="W144" s="1" t="str">
        <f>IF(VLOOKUP($C144,Intermediate!$C$2:$R$208,5,FALSE)=G144, "", IF(G144="x","+", "-"))</f>
        <v/>
      </c>
      <c r="X144" s="1" t="str">
        <f>IF(VLOOKUP($C144,Intermediate!$C$2:$R$208,6,FALSE)=H144, "", IF(H144="x","+", "-"))</f>
        <v/>
      </c>
      <c r="Y144" s="1" t="str">
        <f>IF(VLOOKUP($C144,Intermediate!$C$2:$R$208,7,FALSE)=I144, "", IF(I144="x","+", "-"))</f>
        <v/>
      </c>
      <c r="Z144" s="1" t="str">
        <f>IF(VLOOKUP($C144,Intermediate!$C$2:$R$208,8,FALSE)=J144, "", IF(J144="x","+", "-"))</f>
        <v/>
      </c>
      <c r="AA144" s="1" t="str">
        <f>IF(VLOOKUP($C144,Intermediate!$C$2:$R$208,9,FALSE)=K144, "", IF(K144="x","+", "-"))</f>
        <v/>
      </c>
      <c r="AB144" s="1" t="str">
        <f>IF(VLOOKUP($C144,Intermediate!$C$2:$R$208,10,FALSE)=L144, "", IF(L144="x","+", "-"))</f>
        <v/>
      </c>
      <c r="AC144" s="1" t="str">
        <f>IF(VLOOKUP($C144,Intermediate!$C$2:$R$208,11,FALSE)=M144, "", IF(M144="x","+", "-"))</f>
        <v/>
      </c>
      <c r="AD144" s="1" t="str">
        <f>IF(VLOOKUP($C144,Intermediate!$C$2:$R$208,12,FALSE)=N144, "", IF(N144="x","+", "-"))</f>
        <v/>
      </c>
      <c r="AE144" s="1" t="str">
        <f>IF(VLOOKUP($C144,Intermediate!$C$2:$R$208,13,FALSE)=O144, "", IF(O144="x","+", "-"))</f>
        <v/>
      </c>
      <c r="AF144" s="1" t="str">
        <f>IF(VLOOKUP($C144,Intermediate!$C$2:$R$208,14,FALSE)=P144, "", IF(P144="x","+", "-"))</f>
        <v/>
      </c>
      <c r="AG144" s="1" t="str">
        <f>IF(VLOOKUP($C144,Intermediate!$C$2:$R$208,15,FALSE)=Q144, "", IF(Q144="x","+", "-"))</f>
        <v/>
      </c>
      <c r="AH144" s="1" t="str">
        <f>IF(VLOOKUP($C144,Intermediate!$C$2:$R$208,16,FALSE)=R144, "", IF(R144="x","+", "-"))</f>
        <v/>
      </c>
    </row>
    <row r="145" spans="1:34" ht="15" customHeight="1" x14ac:dyDescent="0.2">
      <c r="A145" s="8" t="s">
        <v>48</v>
      </c>
      <c r="B145" s="8" t="s">
        <v>49</v>
      </c>
      <c r="C145" s="9" t="str">
        <f t="shared" si="2"/>
        <v>UU Systeemontwikkelingsmethoden</v>
      </c>
      <c r="D145" s="5" t="s">
        <v>19</v>
      </c>
      <c r="E145" s="5"/>
      <c r="F145" s="5" t="s">
        <v>19</v>
      </c>
      <c r="G145" s="12" t="s">
        <v>19</v>
      </c>
      <c r="H145" s="5"/>
      <c r="I145" s="5"/>
      <c r="J145" s="5"/>
      <c r="K145" s="5"/>
      <c r="L145" s="5"/>
      <c r="M145" s="5" t="s">
        <v>19</v>
      </c>
      <c r="N145" s="5" t="s">
        <v>19</v>
      </c>
      <c r="O145" s="5"/>
      <c r="P145" s="5"/>
      <c r="Q145" s="5"/>
      <c r="R145" s="5"/>
      <c r="S145" s="1"/>
      <c r="T145" s="1" t="str">
        <f>IF(VLOOKUP($C145,Intermediate!$C$2:$R$208,2,FALSE)=D145, "", IF(D145="x","+", "-"))</f>
        <v/>
      </c>
      <c r="U145" s="1" t="str">
        <f>IF(VLOOKUP($C145,Intermediate!$C$2:$R$208,3,FALSE)=E145, "", IF(E145="x","+", "-"))</f>
        <v/>
      </c>
      <c r="V145" s="1" t="str">
        <f>IF(VLOOKUP($C145,Intermediate!$C$2:$R$208,4,FALSE)=F145, "", IF(F145="x","+", "-"))</f>
        <v/>
      </c>
      <c r="W145" s="1" t="str">
        <f>IF(VLOOKUP($C145,Intermediate!$C$2:$R$208,5,FALSE)=G145, "", IF(G145="x","+", "-"))</f>
        <v/>
      </c>
      <c r="X145" s="1" t="str">
        <f>IF(VLOOKUP($C145,Intermediate!$C$2:$R$208,6,FALSE)=H145, "", IF(H145="x","+", "-"))</f>
        <v/>
      </c>
      <c r="Y145" s="1" t="str">
        <f>IF(VLOOKUP($C145,Intermediate!$C$2:$R$208,7,FALSE)=I145, "", IF(I145="x","+", "-"))</f>
        <v>-</v>
      </c>
      <c r="Z145" s="1" t="str">
        <f>IF(VLOOKUP($C145,Intermediate!$C$2:$R$208,8,FALSE)=J145, "", IF(J145="x","+", "-"))</f>
        <v/>
      </c>
      <c r="AA145" s="1" t="str">
        <f>IF(VLOOKUP($C145,Intermediate!$C$2:$R$208,9,FALSE)=K145, "", IF(K145="x","+", "-"))</f>
        <v/>
      </c>
      <c r="AB145" s="1" t="str">
        <f>IF(VLOOKUP($C145,Intermediate!$C$2:$R$208,10,FALSE)=L145, "", IF(L145="x","+", "-"))</f>
        <v/>
      </c>
      <c r="AC145" s="1" t="str">
        <f>IF(VLOOKUP($C145,Intermediate!$C$2:$R$208,11,FALSE)=M145, "", IF(M145="x","+", "-"))</f>
        <v/>
      </c>
      <c r="AD145" s="1" t="str">
        <f>IF(VLOOKUP($C145,Intermediate!$C$2:$R$208,12,FALSE)=N145, "", IF(N145="x","+", "-"))</f>
        <v/>
      </c>
      <c r="AE145" s="1" t="str">
        <f>IF(VLOOKUP($C145,Intermediate!$C$2:$R$208,13,FALSE)=O145, "", IF(O145="x","+", "-"))</f>
        <v/>
      </c>
      <c r="AF145" s="1" t="str">
        <f>IF(VLOOKUP($C145,Intermediate!$C$2:$R$208,14,FALSE)=P145, "", IF(P145="x","+", "-"))</f>
        <v/>
      </c>
      <c r="AG145" s="1" t="str">
        <f>IF(VLOOKUP($C145,Intermediate!$C$2:$R$208,15,FALSE)=Q145, "", IF(Q145="x","+", "-"))</f>
        <v/>
      </c>
      <c r="AH145" s="1" t="str">
        <f>IF(VLOOKUP($C145,Intermediate!$C$2:$R$208,16,FALSE)=R145, "", IF(R145="x","+", "-"))</f>
        <v/>
      </c>
    </row>
    <row r="146" spans="1:34" ht="15" customHeight="1" x14ac:dyDescent="0.2">
      <c r="A146" s="16" t="s">
        <v>168</v>
      </c>
      <c r="B146" s="8" t="s">
        <v>49</v>
      </c>
      <c r="C146" s="9" t="str">
        <f t="shared" si="2"/>
        <v>UU Talen en compilers</v>
      </c>
      <c r="D146" s="5"/>
      <c r="E146" s="5"/>
      <c r="F146" s="5"/>
      <c r="G146" s="4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 t="s">
        <v>19</v>
      </c>
      <c r="S146" s="1"/>
      <c r="T146" s="1" t="str">
        <f>IF(VLOOKUP($C146,Intermediate!$C$2:$R$208,2,FALSE)=D146, "", IF(D146="x","+", "-"))</f>
        <v/>
      </c>
      <c r="U146" s="1" t="str">
        <f>IF(VLOOKUP($C146,Intermediate!$C$2:$R$208,3,FALSE)=E146, "", IF(E146="x","+", "-"))</f>
        <v/>
      </c>
      <c r="V146" s="1" t="str">
        <f>IF(VLOOKUP($C146,Intermediate!$C$2:$R$208,4,FALSE)=F146, "", IF(F146="x","+", "-"))</f>
        <v/>
      </c>
      <c r="W146" s="1" t="str">
        <f>IF(VLOOKUP($C146,Intermediate!$C$2:$R$208,5,FALSE)=G146, "", IF(G146="x","+", "-"))</f>
        <v/>
      </c>
      <c r="X146" s="1" t="str">
        <f>IF(VLOOKUP($C146,Intermediate!$C$2:$R$208,6,FALSE)=H146, "", IF(H146="x","+", "-"))</f>
        <v/>
      </c>
      <c r="Y146" s="1" t="str">
        <f>IF(VLOOKUP($C146,Intermediate!$C$2:$R$208,7,FALSE)=I146, "", IF(I146="x","+", "-"))</f>
        <v/>
      </c>
      <c r="Z146" s="1" t="str">
        <f>IF(VLOOKUP($C146,Intermediate!$C$2:$R$208,8,FALSE)=J146, "", IF(J146="x","+", "-"))</f>
        <v/>
      </c>
      <c r="AA146" s="1" t="str">
        <f>IF(VLOOKUP($C146,Intermediate!$C$2:$R$208,9,FALSE)=K146, "", IF(K146="x","+", "-"))</f>
        <v/>
      </c>
      <c r="AB146" s="1" t="str">
        <f>IF(VLOOKUP($C146,Intermediate!$C$2:$R$208,10,FALSE)=L146, "", IF(L146="x","+", "-"))</f>
        <v/>
      </c>
      <c r="AC146" s="1" t="str">
        <f>IF(VLOOKUP($C146,Intermediate!$C$2:$R$208,11,FALSE)=M146, "", IF(M146="x","+", "-"))</f>
        <v/>
      </c>
      <c r="AD146" s="1" t="str">
        <f>IF(VLOOKUP($C146,Intermediate!$C$2:$R$208,12,FALSE)=N146, "", IF(N146="x","+", "-"))</f>
        <v/>
      </c>
      <c r="AE146" s="1" t="str">
        <f>IF(VLOOKUP($C146,Intermediate!$C$2:$R$208,13,FALSE)=O146, "", IF(O146="x","+", "-"))</f>
        <v/>
      </c>
      <c r="AF146" s="1" t="str">
        <f>IF(VLOOKUP($C146,Intermediate!$C$2:$R$208,14,FALSE)=P146, "", IF(P146="x","+", "-"))</f>
        <v/>
      </c>
      <c r="AG146" s="1" t="str">
        <f>IF(VLOOKUP($C146,Intermediate!$C$2:$R$208,15,FALSE)=Q146, "", IF(Q146="x","+", "-"))</f>
        <v/>
      </c>
      <c r="AH146" s="1" t="str">
        <f>IF(VLOOKUP($C146,Intermediate!$C$2:$R$208,16,FALSE)=R146, "", IF(R146="x","+", "-"))</f>
        <v/>
      </c>
    </row>
    <row r="147" spans="1:34" ht="15" customHeight="1" x14ac:dyDescent="0.2">
      <c r="A147" s="6" t="s">
        <v>169</v>
      </c>
      <c r="B147" s="7" t="s">
        <v>49</v>
      </c>
      <c r="C147" s="9" t="str">
        <f t="shared" si="2"/>
        <v>UU Webtechnologie</v>
      </c>
      <c r="D147" s="5"/>
      <c r="E147" s="5"/>
      <c r="F147" s="5"/>
      <c r="G147" s="5" t="s">
        <v>19</v>
      </c>
      <c r="H147" s="5"/>
      <c r="I147" s="5"/>
      <c r="J147" s="5"/>
      <c r="K147" s="5"/>
      <c r="L147" s="5"/>
      <c r="M147" s="5"/>
      <c r="N147" s="5"/>
      <c r="O147" s="5"/>
      <c r="P147" s="5"/>
      <c r="Q147" s="12"/>
      <c r="R147" s="5"/>
      <c r="S147" s="1"/>
      <c r="T147" s="1" t="str">
        <f>IF(VLOOKUP($C147,Intermediate!$C$2:$R$208,2,FALSE)=D147, "", IF(D147="x","+", "-"))</f>
        <v/>
      </c>
      <c r="U147" s="1" t="str">
        <f>IF(VLOOKUP($C147,Intermediate!$C$2:$R$208,3,FALSE)=E147, "", IF(E147="x","+", "-"))</f>
        <v/>
      </c>
      <c r="V147" s="1" t="str">
        <f>IF(VLOOKUP($C147,Intermediate!$C$2:$R$208,4,FALSE)=F147, "", IF(F147="x","+", "-"))</f>
        <v/>
      </c>
      <c r="W147" s="1" t="str">
        <f>IF(VLOOKUP($C147,Intermediate!$C$2:$R$208,5,FALSE)=G147, "", IF(G147="x","+", "-"))</f>
        <v/>
      </c>
      <c r="X147" s="1" t="str">
        <f>IF(VLOOKUP($C147,Intermediate!$C$2:$R$208,6,FALSE)=H147, "", IF(H147="x","+", "-"))</f>
        <v/>
      </c>
      <c r="Y147" s="1" t="str">
        <f>IF(VLOOKUP($C147,Intermediate!$C$2:$R$208,7,FALSE)=I147, "", IF(I147="x","+", "-"))</f>
        <v/>
      </c>
      <c r="Z147" s="1" t="str">
        <f>IF(VLOOKUP($C147,Intermediate!$C$2:$R$208,8,FALSE)=J147, "", IF(J147="x","+", "-"))</f>
        <v/>
      </c>
      <c r="AA147" s="1" t="str">
        <f>IF(VLOOKUP($C147,Intermediate!$C$2:$R$208,9,FALSE)=K147, "", IF(K147="x","+", "-"))</f>
        <v/>
      </c>
      <c r="AB147" s="1" t="str">
        <f>IF(VLOOKUP($C147,Intermediate!$C$2:$R$208,10,FALSE)=L147, "", IF(L147="x","+", "-"))</f>
        <v/>
      </c>
      <c r="AC147" s="1" t="str">
        <f>IF(VLOOKUP($C147,Intermediate!$C$2:$R$208,11,FALSE)=M147, "", IF(M147="x","+", "-"))</f>
        <v/>
      </c>
      <c r="AD147" s="1" t="str">
        <f>IF(VLOOKUP($C147,Intermediate!$C$2:$R$208,12,FALSE)=N147, "", IF(N147="x","+", "-"))</f>
        <v/>
      </c>
      <c r="AE147" s="1" t="str">
        <f>IF(VLOOKUP($C147,Intermediate!$C$2:$R$208,13,FALSE)=O147, "", IF(O147="x","+", "-"))</f>
        <v/>
      </c>
      <c r="AF147" s="1" t="str">
        <f>IF(VLOOKUP($C147,Intermediate!$C$2:$R$208,14,FALSE)=P147, "", IF(P147="x","+", "-"))</f>
        <v/>
      </c>
      <c r="AG147" s="1" t="str">
        <f>IF(VLOOKUP($C147,Intermediate!$C$2:$R$208,15,FALSE)=Q147, "", IF(Q147="x","+", "-"))</f>
        <v/>
      </c>
      <c r="AH147" s="1" t="str">
        <f>IF(VLOOKUP($C147,Intermediate!$C$2:$R$208,16,FALSE)=R147, "", IF(R147="x","+", "-"))</f>
        <v/>
      </c>
    </row>
    <row r="148" spans="1:34" ht="15" customHeight="1" x14ac:dyDescent="0.2">
      <c r="A148" s="6" t="s">
        <v>170</v>
      </c>
      <c r="B148" s="8" t="s">
        <v>49</v>
      </c>
      <c r="C148" s="9" t="str">
        <f t="shared" si="2"/>
        <v>UU Advanced functional programming</v>
      </c>
      <c r="D148" s="5"/>
      <c r="E148" s="5"/>
      <c r="F148" s="5"/>
      <c r="G148" s="5" t="s">
        <v>19</v>
      </c>
      <c r="H148" s="5"/>
      <c r="I148" s="5"/>
      <c r="J148" s="5"/>
      <c r="K148" s="5"/>
      <c r="L148" s="5"/>
      <c r="M148" s="5"/>
      <c r="N148" s="5"/>
      <c r="O148" s="5"/>
      <c r="P148" s="5"/>
      <c r="Q148" s="4"/>
      <c r="R148" s="5" t="s">
        <v>19</v>
      </c>
      <c r="S148" s="7"/>
      <c r="T148" s="1" t="str">
        <f>IF(VLOOKUP($C148,Intermediate!$C$2:$R$208,2,FALSE)=D148, "", IF(D148="x","+", "-"))</f>
        <v/>
      </c>
      <c r="U148" s="1" t="str">
        <f>IF(VLOOKUP($C148,Intermediate!$C$2:$R$208,3,FALSE)=E148, "", IF(E148="x","+", "-"))</f>
        <v/>
      </c>
      <c r="V148" s="1" t="str">
        <f>IF(VLOOKUP($C148,Intermediate!$C$2:$R$208,4,FALSE)=F148, "", IF(F148="x","+", "-"))</f>
        <v/>
      </c>
      <c r="W148" s="1" t="str">
        <f>IF(VLOOKUP($C148,Intermediate!$C$2:$R$208,5,FALSE)=G148, "", IF(G148="x","+", "-"))</f>
        <v/>
      </c>
      <c r="X148" s="1" t="str">
        <f>IF(VLOOKUP($C148,Intermediate!$C$2:$R$208,6,FALSE)=H148, "", IF(H148="x","+", "-"))</f>
        <v/>
      </c>
      <c r="Y148" s="1" t="str">
        <f>IF(VLOOKUP($C148,Intermediate!$C$2:$R$208,7,FALSE)=I148, "", IF(I148="x","+", "-"))</f>
        <v/>
      </c>
      <c r="Z148" s="1" t="str">
        <f>IF(VLOOKUP($C148,Intermediate!$C$2:$R$208,8,FALSE)=J148, "", IF(J148="x","+", "-"))</f>
        <v/>
      </c>
      <c r="AA148" s="1" t="str">
        <f>IF(VLOOKUP($C148,Intermediate!$C$2:$R$208,9,FALSE)=K148, "", IF(K148="x","+", "-"))</f>
        <v/>
      </c>
      <c r="AB148" s="1" t="str">
        <f>IF(VLOOKUP($C148,Intermediate!$C$2:$R$208,10,FALSE)=L148, "", IF(L148="x","+", "-"))</f>
        <v/>
      </c>
      <c r="AC148" s="1" t="str">
        <f>IF(VLOOKUP($C148,Intermediate!$C$2:$R$208,11,FALSE)=M148, "", IF(M148="x","+", "-"))</f>
        <v/>
      </c>
      <c r="AD148" s="1" t="str">
        <f>IF(VLOOKUP($C148,Intermediate!$C$2:$R$208,12,FALSE)=N148, "", IF(N148="x","+", "-"))</f>
        <v/>
      </c>
      <c r="AE148" s="1" t="str">
        <f>IF(VLOOKUP($C148,Intermediate!$C$2:$R$208,13,FALSE)=O148, "", IF(O148="x","+", "-"))</f>
        <v/>
      </c>
      <c r="AF148" s="1" t="str">
        <f>IF(VLOOKUP($C148,Intermediate!$C$2:$R$208,14,FALSE)=P148, "", IF(P148="x","+", "-"))</f>
        <v/>
      </c>
      <c r="AG148" s="1" t="str">
        <f>IF(VLOOKUP($C148,Intermediate!$C$2:$R$208,15,FALSE)=Q148, "", IF(Q148="x","+", "-"))</f>
        <v/>
      </c>
      <c r="AH148" s="1" t="str">
        <f>IF(VLOOKUP($C148,Intermediate!$C$2:$R$208,16,FALSE)=R148, "", IF(R148="x","+", "-"))</f>
        <v/>
      </c>
    </row>
    <row r="149" spans="1:34" ht="15" customHeight="1" x14ac:dyDescent="0.2">
      <c r="A149" s="8" t="s">
        <v>171</v>
      </c>
      <c r="B149" s="8" t="s">
        <v>49</v>
      </c>
      <c r="C149" s="9" t="str">
        <f t="shared" si="2"/>
        <v>UU Concepts of programming language design</v>
      </c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12"/>
      <c r="P149" s="5"/>
      <c r="Q149" s="5"/>
      <c r="R149" s="5" t="s">
        <v>19</v>
      </c>
      <c r="S149" s="1"/>
      <c r="T149" s="1" t="str">
        <f>IF(VLOOKUP($C149,Intermediate!$C$2:$R$208,2,FALSE)=D149, "", IF(D149="x","+", "-"))</f>
        <v/>
      </c>
      <c r="U149" s="1" t="str">
        <f>IF(VLOOKUP($C149,Intermediate!$C$2:$R$208,3,FALSE)=E149, "", IF(E149="x","+", "-"))</f>
        <v/>
      </c>
      <c r="V149" s="1" t="str">
        <f>IF(VLOOKUP($C149,Intermediate!$C$2:$R$208,4,FALSE)=F149, "", IF(F149="x","+", "-"))</f>
        <v/>
      </c>
      <c r="W149" s="1" t="str">
        <f>IF(VLOOKUP($C149,Intermediate!$C$2:$R$208,5,FALSE)=G149, "", IF(G149="x","+", "-"))</f>
        <v/>
      </c>
      <c r="X149" s="1" t="str">
        <f>IF(VLOOKUP($C149,Intermediate!$C$2:$R$208,6,FALSE)=H149, "", IF(H149="x","+", "-"))</f>
        <v/>
      </c>
      <c r="Y149" s="1" t="str">
        <f>IF(VLOOKUP($C149,Intermediate!$C$2:$R$208,7,FALSE)=I149, "", IF(I149="x","+", "-"))</f>
        <v/>
      </c>
      <c r="Z149" s="1" t="str">
        <f>IF(VLOOKUP($C149,Intermediate!$C$2:$R$208,8,FALSE)=J149, "", IF(J149="x","+", "-"))</f>
        <v/>
      </c>
      <c r="AA149" s="1" t="str">
        <f>IF(VLOOKUP($C149,Intermediate!$C$2:$R$208,9,FALSE)=K149, "", IF(K149="x","+", "-"))</f>
        <v/>
      </c>
      <c r="AB149" s="1" t="str">
        <f>IF(VLOOKUP($C149,Intermediate!$C$2:$R$208,10,FALSE)=L149, "", IF(L149="x","+", "-"))</f>
        <v/>
      </c>
      <c r="AC149" s="1" t="str">
        <f>IF(VLOOKUP($C149,Intermediate!$C$2:$R$208,11,FALSE)=M149, "", IF(M149="x","+", "-"))</f>
        <v/>
      </c>
      <c r="AD149" s="1" t="str">
        <f>IF(VLOOKUP($C149,Intermediate!$C$2:$R$208,12,FALSE)=N149, "", IF(N149="x","+", "-"))</f>
        <v/>
      </c>
      <c r="AE149" s="1" t="str">
        <f>IF(VLOOKUP($C149,Intermediate!$C$2:$R$208,13,FALSE)=O149, "", IF(O149="x","+", "-"))</f>
        <v/>
      </c>
      <c r="AF149" s="1" t="str">
        <f>IF(VLOOKUP($C149,Intermediate!$C$2:$R$208,14,FALSE)=P149, "", IF(P149="x","+", "-"))</f>
        <v/>
      </c>
      <c r="AG149" s="1" t="str">
        <f>IF(VLOOKUP($C149,Intermediate!$C$2:$R$208,15,FALSE)=Q149, "", IF(Q149="x","+", "-"))</f>
        <v/>
      </c>
      <c r="AH149" s="1" t="str">
        <f>IF(VLOOKUP($C149,Intermediate!$C$2:$R$208,16,FALSE)=R149, "", IF(R149="x","+", "-"))</f>
        <v/>
      </c>
    </row>
    <row r="150" spans="1:34" ht="15" customHeight="1" x14ac:dyDescent="0.2">
      <c r="A150" s="6" t="s">
        <v>172</v>
      </c>
      <c r="B150" s="8" t="s">
        <v>49</v>
      </c>
      <c r="C150" s="9" t="str">
        <f t="shared" si="2"/>
        <v>UU Domain-specific languages</v>
      </c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12"/>
      <c r="O150" s="4" t="s">
        <v>19</v>
      </c>
      <c r="P150" s="5"/>
      <c r="Q150" s="5" t="s">
        <v>19</v>
      </c>
      <c r="R150" s="5" t="s">
        <v>19</v>
      </c>
      <c r="S150" s="1"/>
      <c r="T150" s="1" t="str">
        <f>IF(VLOOKUP($C150,Intermediate!$C$2:$R$208,2,FALSE)=D150, "", IF(D150="x","+", "-"))</f>
        <v/>
      </c>
      <c r="U150" s="1" t="str">
        <f>IF(VLOOKUP($C150,Intermediate!$C$2:$R$208,3,FALSE)=E150, "", IF(E150="x","+", "-"))</f>
        <v/>
      </c>
      <c r="V150" s="1" t="str">
        <f>IF(VLOOKUP($C150,Intermediate!$C$2:$R$208,4,FALSE)=F150, "", IF(F150="x","+", "-"))</f>
        <v/>
      </c>
      <c r="W150" s="1" t="str">
        <f>IF(VLOOKUP($C150,Intermediate!$C$2:$R$208,5,FALSE)=G150, "", IF(G150="x","+", "-"))</f>
        <v/>
      </c>
      <c r="X150" s="1" t="str">
        <f>IF(VLOOKUP($C150,Intermediate!$C$2:$R$208,6,FALSE)=H150, "", IF(H150="x","+", "-"))</f>
        <v/>
      </c>
      <c r="Y150" s="1" t="str">
        <f>IF(VLOOKUP($C150,Intermediate!$C$2:$R$208,7,FALSE)=I150, "", IF(I150="x","+", "-"))</f>
        <v/>
      </c>
      <c r="Z150" s="1" t="str">
        <f>IF(VLOOKUP($C150,Intermediate!$C$2:$R$208,8,FALSE)=J150, "", IF(J150="x","+", "-"))</f>
        <v/>
      </c>
      <c r="AA150" s="1" t="str">
        <f>IF(VLOOKUP($C150,Intermediate!$C$2:$R$208,9,FALSE)=K150, "", IF(K150="x","+", "-"))</f>
        <v/>
      </c>
      <c r="AB150" s="1" t="str">
        <f>IF(VLOOKUP($C150,Intermediate!$C$2:$R$208,10,FALSE)=L150, "", IF(L150="x","+", "-"))</f>
        <v/>
      </c>
      <c r="AC150" s="1" t="str">
        <f>IF(VLOOKUP($C150,Intermediate!$C$2:$R$208,11,FALSE)=M150, "", IF(M150="x","+", "-"))</f>
        <v/>
      </c>
      <c r="AD150" s="1" t="str">
        <f>IF(VLOOKUP($C150,Intermediate!$C$2:$R$208,12,FALSE)=N150, "", IF(N150="x","+", "-"))</f>
        <v/>
      </c>
      <c r="AE150" s="1" t="str">
        <f>IF(VLOOKUP($C150,Intermediate!$C$2:$R$208,13,FALSE)=O150, "", IF(O150="x","+", "-"))</f>
        <v/>
      </c>
      <c r="AF150" s="1" t="str">
        <f>IF(VLOOKUP($C150,Intermediate!$C$2:$R$208,14,FALSE)=P150, "", IF(P150="x","+", "-"))</f>
        <v/>
      </c>
      <c r="AG150" s="1" t="str">
        <f>IF(VLOOKUP($C150,Intermediate!$C$2:$R$208,15,FALSE)=Q150, "", IF(Q150="x","+", "-"))</f>
        <v/>
      </c>
      <c r="AH150" s="1" t="str">
        <f>IF(VLOOKUP($C150,Intermediate!$C$2:$R$208,16,FALSE)=R150, "", IF(R150="x","+", "-"))</f>
        <v/>
      </c>
    </row>
    <row r="151" spans="1:34" ht="15" customHeight="1" x14ac:dyDescent="0.2">
      <c r="A151" s="8" t="s">
        <v>50</v>
      </c>
      <c r="B151" s="8" t="s">
        <v>49</v>
      </c>
      <c r="C151" s="9" t="str">
        <f t="shared" si="2"/>
        <v>UU Method Engineering</v>
      </c>
      <c r="D151" s="5"/>
      <c r="E151" s="5"/>
      <c r="F151" s="5"/>
      <c r="G151" s="5"/>
      <c r="H151" s="5"/>
      <c r="I151" s="5"/>
      <c r="J151" s="5"/>
      <c r="K151" s="5"/>
      <c r="L151" s="5"/>
      <c r="M151" s="5" t="s">
        <v>19</v>
      </c>
      <c r="N151" s="4"/>
      <c r="O151" s="5"/>
      <c r="P151" s="5"/>
      <c r="Q151" s="5"/>
      <c r="R151" s="5"/>
      <c r="S151" s="1"/>
      <c r="T151" s="1" t="str">
        <f>IF(VLOOKUP($C151,Intermediate!$C$2:$R$208,2,FALSE)=D151, "", IF(D151="x","+", "-"))</f>
        <v/>
      </c>
      <c r="U151" s="1" t="str">
        <f>IF(VLOOKUP($C151,Intermediate!$C$2:$R$208,3,FALSE)=E151, "", IF(E151="x","+", "-"))</f>
        <v/>
      </c>
      <c r="V151" s="1" t="str">
        <f>IF(VLOOKUP($C151,Intermediate!$C$2:$R$208,4,FALSE)=F151, "", IF(F151="x","+", "-"))</f>
        <v/>
      </c>
      <c r="W151" s="1" t="str">
        <f>IF(VLOOKUP($C151,Intermediate!$C$2:$R$208,5,FALSE)=G151, "", IF(G151="x","+", "-"))</f>
        <v/>
      </c>
      <c r="X151" s="1" t="str">
        <f>IF(VLOOKUP($C151,Intermediate!$C$2:$R$208,6,FALSE)=H151, "", IF(H151="x","+", "-"))</f>
        <v/>
      </c>
      <c r="Y151" s="1" t="str">
        <f>IF(VLOOKUP($C151,Intermediate!$C$2:$R$208,7,FALSE)=I151, "", IF(I151="x","+", "-"))</f>
        <v/>
      </c>
      <c r="Z151" s="1" t="str">
        <f>IF(VLOOKUP($C151,Intermediate!$C$2:$R$208,8,FALSE)=J151, "", IF(J151="x","+", "-"))</f>
        <v/>
      </c>
      <c r="AA151" s="1" t="str">
        <f>IF(VLOOKUP($C151,Intermediate!$C$2:$R$208,9,FALSE)=K151, "", IF(K151="x","+", "-"))</f>
        <v/>
      </c>
      <c r="AB151" s="1" t="str">
        <f>IF(VLOOKUP($C151,Intermediate!$C$2:$R$208,10,FALSE)=L151, "", IF(L151="x","+", "-"))</f>
        <v/>
      </c>
      <c r="AC151" s="1" t="str">
        <f>IF(VLOOKUP($C151,Intermediate!$C$2:$R$208,11,FALSE)=M151, "", IF(M151="x","+", "-"))</f>
        <v/>
      </c>
      <c r="AD151" s="1" t="str">
        <f>IF(VLOOKUP($C151,Intermediate!$C$2:$R$208,12,FALSE)=N151, "", IF(N151="x","+", "-"))</f>
        <v/>
      </c>
      <c r="AE151" s="1" t="str">
        <f>IF(VLOOKUP($C151,Intermediate!$C$2:$R$208,13,FALSE)=O151, "", IF(O151="x","+", "-"))</f>
        <v/>
      </c>
      <c r="AF151" s="1" t="str">
        <f>IF(VLOOKUP($C151,Intermediate!$C$2:$R$208,14,FALSE)=P151, "", IF(P151="x","+", "-"))</f>
        <v/>
      </c>
      <c r="AG151" s="1" t="str">
        <f>IF(VLOOKUP($C151,Intermediate!$C$2:$R$208,15,FALSE)=Q151, "", IF(Q151="x","+", "-"))</f>
        <v/>
      </c>
      <c r="AH151" s="1" t="str">
        <f>IF(VLOOKUP($C151,Intermediate!$C$2:$R$208,16,FALSE)=R151, "", IF(R151="x","+", "-"))</f>
        <v/>
      </c>
    </row>
    <row r="152" spans="1:34" ht="15" customHeight="1" x14ac:dyDescent="0.2">
      <c r="A152" s="8" t="s">
        <v>173</v>
      </c>
      <c r="B152" s="8" t="s">
        <v>49</v>
      </c>
      <c r="C152" s="9" t="str">
        <f t="shared" si="2"/>
        <v>UU Program semantics and verification</v>
      </c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12"/>
      <c r="O152" s="5"/>
      <c r="P152" s="5"/>
      <c r="Q152" s="5" t="s">
        <v>19</v>
      </c>
      <c r="R152" s="5"/>
      <c r="S152" s="7"/>
      <c r="T152" s="1" t="str">
        <f>IF(VLOOKUP($C152,Intermediate!$C$2:$R$208,2,FALSE)=D152, "", IF(D152="x","+", "-"))</f>
        <v/>
      </c>
      <c r="U152" s="1" t="str">
        <f>IF(VLOOKUP($C152,Intermediate!$C$2:$R$208,3,FALSE)=E152, "", IF(E152="x","+", "-"))</f>
        <v/>
      </c>
      <c r="V152" s="1" t="str">
        <f>IF(VLOOKUP($C152,Intermediate!$C$2:$R$208,4,FALSE)=F152, "", IF(F152="x","+", "-"))</f>
        <v/>
      </c>
      <c r="W152" s="1" t="str">
        <f>IF(VLOOKUP($C152,Intermediate!$C$2:$R$208,5,FALSE)=G152, "", IF(G152="x","+", "-"))</f>
        <v/>
      </c>
      <c r="X152" s="1" t="str">
        <f>IF(VLOOKUP($C152,Intermediate!$C$2:$R$208,6,FALSE)=H152, "", IF(H152="x","+", "-"))</f>
        <v/>
      </c>
      <c r="Y152" s="1" t="str">
        <f>IF(VLOOKUP($C152,Intermediate!$C$2:$R$208,7,FALSE)=I152, "", IF(I152="x","+", "-"))</f>
        <v/>
      </c>
      <c r="Z152" s="1" t="str">
        <f>IF(VLOOKUP($C152,Intermediate!$C$2:$R$208,8,FALSE)=J152, "", IF(J152="x","+", "-"))</f>
        <v/>
      </c>
      <c r="AA152" s="1" t="str">
        <f>IF(VLOOKUP($C152,Intermediate!$C$2:$R$208,9,FALSE)=K152, "", IF(K152="x","+", "-"))</f>
        <v/>
      </c>
      <c r="AB152" s="1" t="str">
        <f>IF(VLOOKUP($C152,Intermediate!$C$2:$R$208,10,FALSE)=L152, "", IF(L152="x","+", "-"))</f>
        <v/>
      </c>
      <c r="AC152" s="1" t="str">
        <f>IF(VLOOKUP($C152,Intermediate!$C$2:$R$208,11,FALSE)=M152, "", IF(M152="x","+", "-"))</f>
        <v/>
      </c>
      <c r="AD152" s="1" t="str">
        <f>IF(VLOOKUP($C152,Intermediate!$C$2:$R$208,12,FALSE)=N152, "", IF(N152="x","+", "-"))</f>
        <v/>
      </c>
      <c r="AE152" s="1" t="str">
        <f>IF(VLOOKUP($C152,Intermediate!$C$2:$R$208,13,FALSE)=O152, "", IF(O152="x","+", "-"))</f>
        <v/>
      </c>
      <c r="AF152" s="1" t="str">
        <f>IF(VLOOKUP($C152,Intermediate!$C$2:$R$208,14,FALSE)=P152, "", IF(P152="x","+", "-"))</f>
        <v/>
      </c>
      <c r="AG152" s="1" t="str">
        <f>IF(VLOOKUP($C152,Intermediate!$C$2:$R$208,15,FALSE)=Q152, "", IF(Q152="x","+", "-"))</f>
        <v/>
      </c>
      <c r="AH152" s="1" t="str">
        <f>IF(VLOOKUP($C152,Intermediate!$C$2:$R$208,16,FALSE)=R152, "", IF(R152="x","+", "-"))</f>
        <v/>
      </c>
    </row>
    <row r="153" spans="1:34" ht="15" customHeight="1" x14ac:dyDescent="0.2">
      <c r="A153" s="8" t="s">
        <v>35</v>
      </c>
      <c r="B153" s="8" t="s">
        <v>49</v>
      </c>
      <c r="C153" s="9" t="str">
        <f t="shared" si="2"/>
        <v>UU Requirements Engineering</v>
      </c>
      <c r="D153" s="5" t="s">
        <v>19</v>
      </c>
      <c r="E153" s="5"/>
      <c r="F153" s="5"/>
      <c r="G153" s="5"/>
      <c r="H153" s="5"/>
      <c r="I153" s="5"/>
      <c r="J153" s="5"/>
      <c r="K153" s="5"/>
      <c r="L153" s="5" t="s">
        <v>19</v>
      </c>
      <c r="M153" s="5"/>
      <c r="N153" s="4"/>
      <c r="O153" s="5"/>
      <c r="P153" s="5"/>
      <c r="Q153" s="5"/>
      <c r="R153" s="5"/>
      <c r="S153" s="7"/>
      <c r="T153" s="1" t="str">
        <f>IF(VLOOKUP($C153,Intermediate!$C$2:$R$208,2,FALSE)=D153, "", IF(D153="x","+", "-"))</f>
        <v/>
      </c>
      <c r="U153" s="1" t="str">
        <f>IF(VLOOKUP($C153,Intermediate!$C$2:$R$208,3,FALSE)=E153, "", IF(E153="x","+", "-"))</f>
        <v/>
      </c>
      <c r="V153" s="1" t="str">
        <f>IF(VLOOKUP($C153,Intermediate!$C$2:$R$208,4,FALSE)=F153, "", IF(F153="x","+", "-"))</f>
        <v/>
      </c>
      <c r="W153" s="1" t="str">
        <f>IF(VLOOKUP($C153,Intermediate!$C$2:$R$208,5,FALSE)=G153, "", IF(G153="x","+", "-"))</f>
        <v/>
      </c>
      <c r="X153" s="1" t="str">
        <f>IF(VLOOKUP($C153,Intermediate!$C$2:$R$208,6,FALSE)=H153, "", IF(H153="x","+", "-"))</f>
        <v/>
      </c>
      <c r="Y153" s="1" t="str">
        <f>IF(VLOOKUP($C153,Intermediate!$C$2:$R$208,7,FALSE)=I153, "", IF(I153="x","+", "-"))</f>
        <v/>
      </c>
      <c r="Z153" s="1" t="str">
        <f>IF(VLOOKUP($C153,Intermediate!$C$2:$R$208,8,FALSE)=J153, "", IF(J153="x","+", "-"))</f>
        <v/>
      </c>
      <c r="AA153" s="1" t="str">
        <f>IF(VLOOKUP($C153,Intermediate!$C$2:$R$208,9,FALSE)=K153, "", IF(K153="x","+", "-"))</f>
        <v/>
      </c>
      <c r="AB153" s="1" t="str">
        <f>IF(VLOOKUP($C153,Intermediate!$C$2:$R$208,10,FALSE)=L153, "", IF(L153="x","+", "-"))</f>
        <v/>
      </c>
      <c r="AC153" s="1" t="str">
        <f>IF(VLOOKUP($C153,Intermediate!$C$2:$R$208,11,FALSE)=M153, "", IF(M153="x","+", "-"))</f>
        <v/>
      </c>
      <c r="AD153" s="1" t="str">
        <f>IF(VLOOKUP($C153,Intermediate!$C$2:$R$208,12,FALSE)=N153, "", IF(N153="x","+", "-"))</f>
        <v/>
      </c>
      <c r="AE153" s="1" t="str">
        <f>IF(VLOOKUP($C153,Intermediate!$C$2:$R$208,13,FALSE)=O153, "", IF(O153="x","+", "-"))</f>
        <v/>
      </c>
      <c r="AF153" s="1" t="str">
        <f>IF(VLOOKUP($C153,Intermediate!$C$2:$R$208,14,FALSE)=P153, "", IF(P153="x","+", "-"))</f>
        <v/>
      </c>
      <c r="AG153" s="1" t="str">
        <f>IF(VLOOKUP($C153,Intermediate!$C$2:$R$208,15,FALSE)=Q153, "", IF(Q153="x","+", "-"))</f>
        <v/>
      </c>
      <c r="AH153" s="1" t="str">
        <f>IF(VLOOKUP($C153,Intermediate!$C$2:$R$208,16,FALSE)=R153, "", IF(R153="x","+", "-"))</f>
        <v/>
      </c>
    </row>
    <row r="154" spans="1:34" ht="15" customHeight="1" x14ac:dyDescent="0.2">
      <c r="A154" s="7" t="s">
        <v>174</v>
      </c>
      <c r="B154" s="7" t="s">
        <v>49</v>
      </c>
      <c r="C154" s="9" t="str">
        <f t="shared" si="2"/>
        <v>UU Science-based entrepreneurship</v>
      </c>
      <c r="D154" s="5"/>
      <c r="E154" s="5" t="s">
        <v>19</v>
      </c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 t="s">
        <v>19</v>
      </c>
      <c r="Q154" s="5"/>
      <c r="R154" s="5"/>
      <c r="S154" s="7"/>
      <c r="T154" s="1" t="str">
        <f>IF(VLOOKUP($C154,Intermediate!$C$2:$R$208,2,FALSE)=D154, "", IF(D154="x","+", "-"))</f>
        <v/>
      </c>
      <c r="U154" s="1" t="str">
        <f>IF(VLOOKUP($C154,Intermediate!$C$2:$R$208,3,FALSE)=E154, "", IF(E154="x","+", "-"))</f>
        <v/>
      </c>
      <c r="V154" s="1" t="str">
        <f>IF(VLOOKUP($C154,Intermediate!$C$2:$R$208,4,FALSE)=F154, "", IF(F154="x","+", "-"))</f>
        <v/>
      </c>
      <c r="W154" s="1" t="str">
        <f>IF(VLOOKUP($C154,Intermediate!$C$2:$R$208,5,FALSE)=G154, "", IF(G154="x","+", "-"))</f>
        <v/>
      </c>
      <c r="X154" s="1" t="str">
        <f>IF(VLOOKUP($C154,Intermediate!$C$2:$R$208,6,FALSE)=H154, "", IF(H154="x","+", "-"))</f>
        <v/>
      </c>
      <c r="Y154" s="1" t="str">
        <f>IF(VLOOKUP($C154,Intermediate!$C$2:$R$208,7,FALSE)=I154, "", IF(I154="x","+", "-"))</f>
        <v/>
      </c>
      <c r="Z154" s="1" t="str">
        <f>IF(VLOOKUP($C154,Intermediate!$C$2:$R$208,8,FALSE)=J154, "", IF(J154="x","+", "-"))</f>
        <v/>
      </c>
      <c r="AA154" s="1" t="str">
        <f>IF(VLOOKUP($C154,Intermediate!$C$2:$R$208,9,FALSE)=K154, "", IF(K154="x","+", "-"))</f>
        <v/>
      </c>
      <c r="AB154" s="1" t="str">
        <f>IF(VLOOKUP($C154,Intermediate!$C$2:$R$208,10,FALSE)=L154, "", IF(L154="x","+", "-"))</f>
        <v/>
      </c>
      <c r="AC154" s="1" t="str">
        <f>IF(VLOOKUP($C154,Intermediate!$C$2:$R$208,11,FALSE)=M154, "", IF(M154="x","+", "-"))</f>
        <v/>
      </c>
      <c r="AD154" s="1" t="str">
        <f>IF(VLOOKUP($C154,Intermediate!$C$2:$R$208,12,FALSE)=N154, "", IF(N154="x","+", "-"))</f>
        <v/>
      </c>
      <c r="AE154" s="1" t="str">
        <f>IF(VLOOKUP($C154,Intermediate!$C$2:$R$208,13,FALSE)=O154, "", IF(O154="x","+", "-"))</f>
        <v/>
      </c>
      <c r="AF154" s="1" t="str">
        <f>IF(VLOOKUP($C154,Intermediate!$C$2:$R$208,14,FALSE)=P154, "", IF(P154="x","+", "-"))</f>
        <v/>
      </c>
      <c r="AG154" s="1" t="str">
        <f>IF(VLOOKUP($C154,Intermediate!$C$2:$R$208,15,FALSE)=Q154, "", IF(Q154="x","+", "-"))</f>
        <v/>
      </c>
      <c r="AH154" s="1" t="str">
        <f>IF(VLOOKUP($C154,Intermediate!$C$2:$R$208,16,FALSE)=R154, "", IF(R154="x","+", "-"))</f>
        <v/>
      </c>
    </row>
    <row r="155" spans="1:34" ht="15" customHeight="1" x14ac:dyDescent="0.2">
      <c r="A155" s="8" t="s">
        <v>66</v>
      </c>
      <c r="B155" s="8" t="s">
        <v>49</v>
      </c>
      <c r="C155" s="9" t="str">
        <f t="shared" si="2"/>
        <v>UU Software Architecture</v>
      </c>
      <c r="D155" s="5" t="s">
        <v>19</v>
      </c>
      <c r="E155" s="5" t="s">
        <v>19</v>
      </c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1"/>
      <c r="T155" s="1" t="str">
        <f>IF(VLOOKUP($C155,Intermediate!$C$2:$R$208,2,FALSE)=D155, "", IF(D155="x","+", "-"))</f>
        <v/>
      </c>
      <c r="U155" s="1" t="str">
        <f>IF(VLOOKUP($C155,Intermediate!$C$2:$R$208,3,FALSE)=E155, "", IF(E155="x","+", "-"))</f>
        <v/>
      </c>
      <c r="V155" s="1" t="str">
        <f>IF(VLOOKUP($C155,Intermediate!$C$2:$R$208,4,FALSE)=F155, "", IF(F155="x","+", "-"))</f>
        <v/>
      </c>
      <c r="W155" s="1" t="str">
        <f>IF(VLOOKUP($C155,Intermediate!$C$2:$R$208,5,FALSE)=G155, "", IF(G155="x","+", "-"))</f>
        <v/>
      </c>
      <c r="X155" s="1" t="str">
        <f>IF(VLOOKUP($C155,Intermediate!$C$2:$R$208,6,FALSE)=H155, "", IF(H155="x","+", "-"))</f>
        <v/>
      </c>
      <c r="Y155" s="1" t="str">
        <f>IF(VLOOKUP($C155,Intermediate!$C$2:$R$208,7,FALSE)=I155, "", IF(I155="x","+", "-"))</f>
        <v/>
      </c>
      <c r="Z155" s="1" t="str">
        <f>IF(VLOOKUP($C155,Intermediate!$C$2:$R$208,8,FALSE)=J155, "", IF(J155="x","+", "-"))</f>
        <v/>
      </c>
      <c r="AA155" s="1" t="str">
        <f>IF(VLOOKUP($C155,Intermediate!$C$2:$R$208,9,FALSE)=K155, "", IF(K155="x","+", "-"))</f>
        <v/>
      </c>
      <c r="AB155" s="1" t="str">
        <f>IF(VLOOKUP($C155,Intermediate!$C$2:$R$208,10,FALSE)=L155, "", IF(L155="x","+", "-"))</f>
        <v/>
      </c>
      <c r="AC155" s="1" t="str">
        <f>IF(VLOOKUP($C155,Intermediate!$C$2:$R$208,11,FALSE)=M155, "", IF(M155="x","+", "-"))</f>
        <v/>
      </c>
      <c r="AD155" s="1" t="str">
        <f>IF(VLOOKUP($C155,Intermediate!$C$2:$R$208,12,FALSE)=N155, "", IF(N155="x","+", "-"))</f>
        <v/>
      </c>
      <c r="AE155" s="1" t="str">
        <f>IF(VLOOKUP($C155,Intermediate!$C$2:$R$208,13,FALSE)=O155, "", IF(O155="x","+", "-"))</f>
        <v/>
      </c>
      <c r="AF155" s="1" t="str">
        <f>IF(VLOOKUP($C155,Intermediate!$C$2:$R$208,14,FALSE)=P155, "", IF(P155="x","+", "-"))</f>
        <v/>
      </c>
      <c r="AG155" s="1" t="str">
        <f>IF(VLOOKUP($C155,Intermediate!$C$2:$R$208,15,FALSE)=Q155, "", IF(Q155="x","+", "-"))</f>
        <v/>
      </c>
      <c r="AH155" s="1" t="str">
        <f>IF(VLOOKUP($C155,Intermediate!$C$2:$R$208,16,FALSE)=R155, "", IF(R155="x","+", "-"))</f>
        <v/>
      </c>
    </row>
    <row r="156" spans="1:34" ht="15" customHeight="1" x14ac:dyDescent="0.2">
      <c r="A156" s="8" t="s">
        <v>175</v>
      </c>
      <c r="B156" s="8" t="s">
        <v>49</v>
      </c>
      <c r="C156" s="9" t="str">
        <f t="shared" si="2"/>
        <v>UU Software Ecosystems</v>
      </c>
      <c r="D156" s="5"/>
      <c r="E156" s="5"/>
      <c r="F156" s="5"/>
      <c r="G156" s="5"/>
      <c r="H156" s="12"/>
      <c r="I156" s="5"/>
      <c r="J156" s="5"/>
      <c r="K156" s="5"/>
      <c r="L156" s="5"/>
      <c r="M156" s="5"/>
      <c r="N156" s="5" t="s">
        <v>19</v>
      </c>
      <c r="O156" s="5"/>
      <c r="P156" s="5" t="s">
        <v>19</v>
      </c>
      <c r="Q156" s="5"/>
      <c r="R156" s="5"/>
      <c r="S156" s="1"/>
      <c r="T156" s="1" t="str">
        <f>IF(VLOOKUP($C156,Intermediate!$C$2:$R$208,2,FALSE)=D156, "", IF(D156="x","+", "-"))</f>
        <v/>
      </c>
      <c r="U156" s="1" t="str">
        <f>IF(VLOOKUP($C156,Intermediate!$C$2:$R$208,3,FALSE)=E156, "", IF(E156="x","+", "-"))</f>
        <v/>
      </c>
      <c r="V156" s="1" t="str">
        <f>IF(VLOOKUP($C156,Intermediate!$C$2:$R$208,4,FALSE)=F156, "", IF(F156="x","+", "-"))</f>
        <v/>
      </c>
      <c r="W156" s="1" t="str">
        <f>IF(VLOOKUP($C156,Intermediate!$C$2:$R$208,5,FALSE)=G156, "", IF(G156="x","+", "-"))</f>
        <v/>
      </c>
      <c r="X156" s="1" t="str">
        <f>IF(VLOOKUP($C156,Intermediate!$C$2:$R$208,6,FALSE)=H156, "", IF(H156="x","+", "-"))</f>
        <v/>
      </c>
      <c r="Y156" s="1" t="str">
        <f>IF(VLOOKUP($C156,Intermediate!$C$2:$R$208,7,FALSE)=I156, "", IF(I156="x","+", "-"))</f>
        <v/>
      </c>
      <c r="Z156" s="1" t="str">
        <f>IF(VLOOKUP($C156,Intermediate!$C$2:$R$208,8,FALSE)=J156, "", IF(J156="x","+", "-"))</f>
        <v/>
      </c>
      <c r="AA156" s="1" t="str">
        <f>IF(VLOOKUP($C156,Intermediate!$C$2:$R$208,9,FALSE)=K156, "", IF(K156="x","+", "-"))</f>
        <v/>
      </c>
      <c r="AB156" s="1" t="str">
        <f>IF(VLOOKUP($C156,Intermediate!$C$2:$R$208,10,FALSE)=L156, "", IF(L156="x","+", "-"))</f>
        <v/>
      </c>
      <c r="AC156" s="1" t="str">
        <f>IF(VLOOKUP($C156,Intermediate!$C$2:$R$208,11,FALSE)=M156, "", IF(M156="x","+", "-"))</f>
        <v/>
      </c>
      <c r="AD156" s="1" t="str">
        <f>IF(VLOOKUP($C156,Intermediate!$C$2:$R$208,12,FALSE)=N156, "", IF(N156="x","+", "-"))</f>
        <v/>
      </c>
      <c r="AE156" s="1" t="str">
        <f>IF(VLOOKUP($C156,Intermediate!$C$2:$R$208,13,FALSE)=O156, "", IF(O156="x","+", "-"))</f>
        <v/>
      </c>
      <c r="AF156" s="1" t="str">
        <f>IF(VLOOKUP($C156,Intermediate!$C$2:$R$208,14,FALSE)=P156, "", IF(P156="x","+", "-"))</f>
        <v/>
      </c>
      <c r="AG156" s="1" t="str">
        <f>IF(VLOOKUP($C156,Intermediate!$C$2:$R$208,15,FALSE)=Q156, "", IF(Q156="x","+", "-"))</f>
        <v/>
      </c>
      <c r="AH156" s="1" t="str">
        <f>IF(VLOOKUP($C156,Intermediate!$C$2:$R$208,16,FALSE)=R156, "", IF(R156="x","+", "-"))</f>
        <v/>
      </c>
    </row>
    <row r="157" spans="1:34" ht="15" customHeight="1" x14ac:dyDescent="0.2">
      <c r="A157" s="7" t="s">
        <v>176</v>
      </c>
      <c r="B157" s="7" t="s">
        <v>27</v>
      </c>
      <c r="C157" s="9" t="str">
        <f t="shared" si="2"/>
        <v>UVA C++ programmeermethoden</v>
      </c>
      <c r="D157" s="10"/>
      <c r="E157" s="10"/>
      <c r="F157" s="10"/>
      <c r="G157" s="13" t="s">
        <v>19</v>
      </c>
      <c r="H157" s="11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7"/>
      <c r="T157" s="1" t="str">
        <f>IF(VLOOKUP($C157,Intermediate!$C$2:$R$208,2,FALSE)=D157, "", IF(D157="x","+", "-"))</f>
        <v/>
      </c>
      <c r="U157" s="1" t="str">
        <f>IF(VLOOKUP($C157,Intermediate!$C$2:$R$208,3,FALSE)=E157, "", IF(E157="x","+", "-"))</f>
        <v/>
      </c>
      <c r="V157" s="1" t="str">
        <f>IF(VLOOKUP($C157,Intermediate!$C$2:$R$208,4,FALSE)=F157, "", IF(F157="x","+", "-"))</f>
        <v/>
      </c>
      <c r="W157" s="1" t="str">
        <f>IF(VLOOKUP($C157,Intermediate!$C$2:$R$208,5,FALSE)=G157, "", IF(G157="x","+", "-"))</f>
        <v/>
      </c>
      <c r="X157" s="1" t="str">
        <f>IF(VLOOKUP($C157,Intermediate!$C$2:$R$208,6,FALSE)=H157, "", IF(H157="x","+", "-"))</f>
        <v/>
      </c>
      <c r="Y157" s="1" t="str">
        <f>IF(VLOOKUP($C157,Intermediate!$C$2:$R$208,7,FALSE)=I157, "", IF(I157="x","+", "-"))</f>
        <v/>
      </c>
      <c r="Z157" s="1" t="str">
        <f>IF(VLOOKUP($C157,Intermediate!$C$2:$R$208,8,FALSE)=J157, "", IF(J157="x","+", "-"))</f>
        <v/>
      </c>
      <c r="AA157" s="1" t="str">
        <f>IF(VLOOKUP($C157,Intermediate!$C$2:$R$208,9,FALSE)=K157, "", IF(K157="x","+", "-"))</f>
        <v/>
      </c>
      <c r="AB157" s="1" t="str">
        <f>IF(VLOOKUP($C157,Intermediate!$C$2:$R$208,10,FALSE)=L157, "", IF(L157="x","+", "-"))</f>
        <v/>
      </c>
      <c r="AC157" s="1" t="str">
        <f>IF(VLOOKUP($C157,Intermediate!$C$2:$R$208,11,FALSE)=M157, "", IF(M157="x","+", "-"))</f>
        <v/>
      </c>
      <c r="AD157" s="1" t="str">
        <f>IF(VLOOKUP($C157,Intermediate!$C$2:$R$208,12,FALSE)=N157, "", IF(N157="x","+", "-"))</f>
        <v/>
      </c>
      <c r="AE157" s="1" t="str">
        <f>IF(VLOOKUP($C157,Intermediate!$C$2:$R$208,13,FALSE)=O157, "", IF(O157="x","+", "-"))</f>
        <v/>
      </c>
      <c r="AF157" s="1" t="str">
        <f>IF(VLOOKUP($C157,Intermediate!$C$2:$R$208,14,FALSE)=P157, "", IF(P157="x","+", "-"))</f>
        <v/>
      </c>
      <c r="AG157" s="1" t="str">
        <f>IF(VLOOKUP($C157,Intermediate!$C$2:$R$208,15,FALSE)=Q157, "", IF(Q157="x","+", "-"))</f>
        <v/>
      </c>
      <c r="AH157" s="1" t="str">
        <f>IF(VLOOKUP($C157,Intermediate!$C$2:$R$208,16,FALSE)=R157, "", IF(R157="x","+", "-"))</f>
        <v/>
      </c>
    </row>
    <row r="158" spans="1:34" ht="15" customHeight="1" x14ac:dyDescent="0.2">
      <c r="A158" s="7" t="s">
        <v>101</v>
      </c>
      <c r="B158" s="7" t="s">
        <v>27</v>
      </c>
      <c r="C158" s="9" t="str">
        <f t="shared" si="2"/>
        <v>UVA Compiler Construction</v>
      </c>
      <c r="D158" s="10"/>
      <c r="E158" s="10"/>
      <c r="F158" s="10"/>
      <c r="G158" s="14"/>
      <c r="H158" s="10"/>
      <c r="I158" s="10"/>
      <c r="J158" s="10"/>
      <c r="K158" s="10"/>
      <c r="L158" s="10"/>
      <c r="M158" s="13"/>
      <c r="N158" s="13"/>
      <c r="O158" s="10"/>
      <c r="P158" s="10"/>
      <c r="Q158" s="10"/>
      <c r="R158" s="10" t="s">
        <v>19</v>
      </c>
      <c r="S158" s="1"/>
      <c r="T158" s="1" t="str">
        <f>IF(VLOOKUP($C158,Intermediate!$C$2:$R$208,2,FALSE)=D158, "", IF(D158="x","+", "-"))</f>
        <v/>
      </c>
      <c r="U158" s="1" t="str">
        <f>IF(VLOOKUP($C158,Intermediate!$C$2:$R$208,3,FALSE)=E158, "", IF(E158="x","+", "-"))</f>
        <v/>
      </c>
      <c r="V158" s="1" t="str">
        <f>IF(VLOOKUP($C158,Intermediate!$C$2:$R$208,4,FALSE)=F158, "", IF(F158="x","+", "-"))</f>
        <v/>
      </c>
      <c r="W158" s="1" t="str">
        <f>IF(VLOOKUP($C158,Intermediate!$C$2:$R$208,5,FALSE)=G158, "", IF(G158="x","+", "-"))</f>
        <v/>
      </c>
      <c r="X158" s="1" t="str">
        <f>IF(VLOOKUP($C158,Intermediate!$C$2:$R$208,6,FALSE)=H158, "", IF(H158="x","+", "-"))</f>
        <v/>
      </c>
      <c r="Y158" s="1" t="str">
        <f>IF(VLOOKUP($C158,Intermediate!$C$2:$R$208,7,FALSE)=I158, "", IF(I158="x","+", "-"))</f>
        <v/>
      </c>
      <c r="Z158" s="1" t="str">
        <f>IF(VLOOKUP($C158,Intermediate!$C$2:$R$208,8,FALSE)=J158, "", IF(J158="x","+", "-"))</f>
        <v/>
      </c>
      <c r="AA158" s="1" t="str">
        <f>IF(VLOOKUP($C158,Intermediate!$C$2:$R$208,9,FALSE)=K158, "", IF(K158="x","+", "-"))</f>
        <v/>
      </c>
      <c r="AB158" s="1" t="str">
        <f>IF(VLOOKUP($C158,Intermediate!$C$2:$R$208,10,FALSE)=L158, "", IF(L158="x","+", "-"))</f>
        <v/>
      </c>
      <c r="AC158" s="1" t="str">
        <f>IF(VLOOKUP($C158,Intermediate!$C$2:$R$208,11,FALSE)=M158, "", IF(M158="x","+", "-"))</f>
        <v/>
      </c>
      <c r="AD158" s="1" t="str">
        <f>IF(VLOOKUP($C158,Intermediate!$C$2:$R$208,12,FALSE)=N158, "", IF(N158="x","+", "-"))</f>
        <v/>
      </c>
      <c r="AE158" s="1" t="str">
        <f>IF(VLOOKUP($C158,Intermediate!$C$2:$R$208,13,FALSE)=O158, "", IF(O158="x","+", "-"))</f>
        <v/>
      </c>
      <c r="AF158" s="1" t="str">
        <f>IF(VLOOKUP($C158,Intermediate!$C$2:$R$208,14,FALSE)=P158, "", IF(P158="x","+", "-"))</f>
        <v/>
      </c>
      <c r="AG158" s="1" t="str">
        <f>IF(VLOOKUP($C158,Intermediate!$C$2:$R$208,15,FALSE)=Q158, "", IF(Q158="x","+", "-"))</f>
        <v/>
      </c>
      <c r="AH158" s="1" t="str">
        <f>IF(VLOOKUP($C158,Intermediate!$C$2:$R$208,16,FALSE)=R158, "", IF(R158="x","+", "-"))</f>
        <v/>
      </c>
    </row>
    <row r="159" spans="1:34" ht="15" customHeight="1" x14ac:dyDescent="0.2">
      <c r="A159" s="7" t="s">
        <v>177</v>
      </c>
      <c r="B159" s="7" t="s">
        <v>27</v>
      </c>
      <c r="C159" s="9" t="str">
        <f t="shared" si="2"/>
        <v>UVA Computer Systems and Engineering - Information and Data management</v>
      </c>
      <c r="D159" s="10"/>
      <c r="E159" s="13"/>
      <c r="F159" s="13"/>
      <c r="G159" s="11" t="s">
        <v>19</v>
      </c>
      <c r="H159" s="13"/>
      <c r="I159" s="10"/>
      <c r="J159" s="10"/>
      <c r="K159" s="13"/>
      <c r="L159" s="10"/>
      <c r="M159" s="11"/>
      <c r="N159" s="11"/>
      <c r="O159" s="10"/>
      <c r="P159" s="10" t="s">
        <v>19</v>
      </c>
      <c r="Q159" s="10"/>
      <c r="R159" s="10"/>
      <c r="S159" s="7"/>
      <c r="T159" s="1" t="str">
        <f>IF(VLOOKUP($C159,Intermediate!$C$2:$R$208,2,FALSE)=D159, "", IF(D159="x","+", "-"))</f>
        <v/>
      </c>
      <c r="U159" s="1" t="str">
        <f>IF(VLOOKUP($C159,Intermediate!$C$2:$R$208,3,FALSE)=E159, "", IF(E159="x","+", "-"))</f>
        <v/>
      </c>
      <c r="V159" s="1" t="str">
        <f>IF(VLOOKUP($C159,Intermediate!$C$2:$R$208,4,FALSE)=F159, "", IF(F159="x","+", "-"))</f>
        <v/>
      </c>
      <c r="W159" s="1" t="str">
        <f>IF(VLOOKUP($C159,Intermediate!$C$2:$R$208,5,FALSE)=G159, "", IF(G159="x","+", "-"))</f>
        <v/>
      </c>
      <c r="X159" s="1" t="str">
        <f>IF(VLOOKUP($C159,Intermediate!$C$2:$R$208,6,FALSE)=H159, "", IF(H159="x","+", "-"))</f>
        <v/>
      </c>
      <c r="Y159" s="1" t="str">
        <f>IF(VLOOKUP($C159,Intermediate!$C$2:$R$208,7,FALSE)=I159, "", IF(I159="x","+", "-"))</f>
        <v/>
      </c>
      <c r="Z159" s="1" t="str">
        <f>IF(VLOOKUP($C159,Intermediate!$C$2:$R$208,8,FALSE)=J159, "", IF(J159="x","+", "-"))</f>
        <v/>
      </c>
      <c r="AA159" s="1" t="str">
        <f>IF(VLOOKUP($C159,Intermediate!$C$2:$R$208,9,FALSE)=K159, "", IF(K159="x","+", "-"))</f>
        <v/>
      </c>
      <c r="AB159" s="1" t="str">
        <f>IF(VLOOKUP($C159,Intermediate!$C$2:$R$208,10,FALSE)=L159, "", IF(L159="x","+", "-"))</f>
        <v/>
      </c>
      <c r="AC159" s="1" t="str">
        <f>IF(VLOOKUP($C159,Intermediate!$C$2:$R$208,11,FALSE)=M159, "", IF(M159="x","+", "-"))</f>
        <v/>
      </c>
      <c r="AD159" s="1" t="str">
        <f>IF(VLOOKUP($C159,Intermediate!$C$2:$R$208,12,FALSE)=N159, "", IF(N159="x","+", "-"))</f>
        <v/>
      </c>
      <c r="AE159" s="1" t="str">
        <f>IF(VLOOKUP($C159,Intermediate!$C$2:$R$208,13,FALSE)=O159, "", IF(O159="x","+", "-"))</f>
        <v/>
      </c>
      <c r="AF159" s="1" t="str">
        <f>IF(VLOOKUP($C159,Intermediate!$C$2:$R$208,14,FALSE)=P159, "", IF(P159="x","+", "-"))</f>
        <v/>
      </c>
      <c r="AG159" s="1" t="str">
        <f>IF(VLOOKUP($C159,Intermediate!$C$2:$R$208,15,FALSE)=Q159, "", IF(Q159="x","+", "-"))</f>
        <v/>
      </c>
      <c r="AH159" s="1" t="str">
        <f>IF(VLOOKUP($C159,Intermediate!$C$2:$R$208,16,FALSE)=R159, "", IF(R159="x","+", "-"))</f>
        <v/>
      </c>
    </row>
    <row r="160" spans="1:34" ht="15" customHeight="1" x14ac:dyDescent="0.2">
      <c r="A160" s="7" t="s">
        <v>178</v>
      </c>
      <c r="B160" s="7" t="s">
        <v>27</v>
      </c>
      <c r="C160" s="9" t="str">
        <f t="shared" si="2"/>
        <v>UVA Distributed and Parallel Programming</v>
      </c>
      <c r="D160" s="10"/>
      <c r="E160" s="11"/>
      <c r="F160" s="14"/>
      <c r="G160" s="10" t="s">
        <v>19</v>
      </c>
      <c r="H160" s="14"/>
      <c r="I160" s="10"/>
      <c r="J160" s="10"/>
      <c r="K160" s="11"/>
      <c r="L160" s="10"/>
      <c r="M160" s="10"/>
      <c r="N160" s="10"/>
      <c r="O160" s="10"/>
      <c r="P160" s="10"/>
      <c r="Q160" s="10"/>
      <c r="R160" s="10"/>
      <c r="S160" s="7"/>
      <c r="T160" s="1" t="str">
        <f>IF(VLOOKUP($C160,Intermediate!$C$2:$R$208,2,FALSE)=D160, "", IF(D160="x","+", "-"))</f>
        <v/>
      </c>
      <c r="U160" s="1" t="str">
        <f>IF(VLOOKUP($C160,Intermediate!$C$2:$R$208,3,FALSE)=E160, "", IF(E160="x","+", "-"))</f>
        <v/>
      </c>
      <c r="V160" s="1" t="str">
        <f>IF(VLOOKUP($C160,Intermediate!$C$2:$R$208,4,FALSE)=F160, "", IF(F160="x","+", "-"))</f>
        <v/>
      </c>
      <c r="W160" s="1" t="str">
        <f>IF(VLOOKUP($C160,Intermediate!$C$2:$R$208,5,FALSE)=G160, "", IF(G160="x","+", "-"))</f>
        <v/>
      </c>
      <c r="X160" s="1" t="str">
        <f>IF(VLOOKUP($C160,Intermediate!$C$2:$R$208,6,FALSE)=H160, "", IF(H160="x","+", "-"))</f>
        <v/>
      </c>
      <c r="Y160" s="1" t="str">
        <f>IF(VLOOKUP($C160,Intermediate!$C$2:$R$208,7,FALSE)=I160, "", IF(I160="x","+", "-"))</f>
        <v/>
      </c>
      <c r="Z160" s="1" t="str">
        <f>IF(VLOOKUP($C160,Intermediate!$C$2:$R$208,8,FALSE)=J160, "", IF(J160="x","+", "-"))</f>
        <v/>
      </c>
      <c r="AA160" s="1" t="str">
        <f>IF(VLOOKUP($C160,Intermediate!$C$2:$R$208,9,FALSE)=K160, "", IF(K160="x","+", "-"))</f>
        <v/>
      </c>
      <c r="AB160" s="1" t="str">
        <f>IF(VLOOKUP($C160,Intermediate!$C$2:$R$208,10,FALSE)=L160, "", IF(L160="x","+", "-"))</f>
        <v/>
      </c>
      <c r="AC160" s="1" t="str">
        <f>IF(VLOOKUP($C160,Intermediate!$C$2:$R$208,11,FALSE)=M160, "", IF(M160="x","+", "-"))</f>
        <v/>
      </c>
      <c r="AD160" s="1" t="str">
        <f>IF(VLOOKUP($C160,Intermediate!$C$2:$R$208,12,FALSE)=N160, "", IF(N160="x","+", "-"))</f>
        <v/>
      </c>
      <c r="AE160" s="1" t="str">
        <f>IF(VLOOKUP($C160,Intermediate!$C$2:$R$208,13,FALSE)=O160, "", IF(O160="x","+", "-"))</f>
        <v/>
      </c>
      <c r="AF160" s="1" t="str">
        <f>IF(VLOOKUP($C160,Intermediate!$C$2:$R$208,14,FALSE)=P160, "", IF(P160="x","+", "-"))</f>
        <v/>
      </c>
      <c r="AG160" s="1" t="str">
        <f>IF(VLOOKUP($C160,Intermediate!$C$2:$R$208,15,FALSE)=Q160, "", IF(Q160="x","+", "-"))</f>
        <v/>
      </c>
      <c r="AH160" s="1" t="str">
        <f>IF(VLOOKUP($C160,Intermediate!$C$2:$R$208,16,FALSE)=R160, "", IF(R160="x","+", "-"))</f>
        <v/>
      </c>
    </row>
    <row r="161" spans="1:34" ht="15" customHeight="1" x14ac:dyDescent="0.2">
      <c r="A161" s="7" t="s">
        <v>179</v>
      </c>
      <c r="B161" s="7" t="s">
        <v>27</v>
      </c>
      <c r="C161" s="9" t="str">
        <f t="shared" si="2"/>
        <v>UVA Inleiding Programmeren</v>
      </c>
      <c r="D161" s="10"/>
      <c r="E161" s="10"/>
      <c r="F161" s="14"/>
      <c r="G161" s="10" t="s">
        <v>19</v>
      </c>
      <c r="H161" s="14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"/>
      <c r="T161" s="1" t="str">
        <f>IF(VLOOKUP($C161,Intermediate!$C$2:$R$208,2,FALSE)=D161, "", IF(D161="x","+", "-"))</f>
        <v/>
      </c>
      <c r="U161" s="1" t="str">
        <f>IF(VLOOKUP($C161,Intermediate!$C$2:$R$208,3,FALSE)=E161, "", IF(E161="x","+", "-"))</f>
        <v/>
      </c>
      <c r="V161" s="1" t="str">
        <f>IF(VLOOKUP($C161,Intermediate!$C$2:$R$208,4,FALSE)=F161, "", IF(F161="x","+", "-"))</f>
        <v/>
      </c>
      <c r="W161" s="1" t="str">
        <f>IF(VLOOKUP($C161,Intermediate!$C$2:$R$208,5,FALSE)=G161, "", IF(G161="x","+", "-"))</f>
        <v/>
      </c>
      <c r="X161" s="1" t="str">
        <f>IF(VLOOKUP($C161,Intermediate!$C$2:$R$208,6,FALSE)=H161, "", IF(H161="x","+", "-"))</f>
        <v/>
      </c>
      <c r="Y161" s="1" t="str">
        <f>IF(VLOOKUP($C161,Intermediate!$C$2:$R$208,7,FALSE)=I161, "", IF(I161="x","+", "-"))</f>
        <v/>
      </c>
      <c r="Z161" s="1" t="str">
        <f>IF(VLOOKUP($C161,Intermediate!$C$2:$R$208,8,FALSE)=J161, "", IF(J161="x","+", "-"))</f>
        <v/>
      </c>
      <c r="AA161" s="1" t="str">
        <f>IF(VLOOKUP($C161,Intermediate!$C$2:$R$208,9,FALSE)=K161, "", IF(K161="x","+", "-"))</f>
        <v/>
      </c>
      <c r="AB161" s="1" t="str">
        <f>IF(VLOOKUP($C161,Intermediate!$C$2:$R$208,10,FALSE)=L161, "", IF(L161="x","+", "-"))</f>
        <v/>
      </c>
      <c r="AC161" s="1" t="str">
        <f>IF(VLOOKUP($C161,Intermediate!$C$2:$R$208,11,FALSE)=M161, "", IF(M161="x","+", "-"))</f>
        <v/>
      </c>
      <c r="AD161" s="1" t="str">
        <f>IF(VLOOKUP($C161,Intermediate!$C$2:$R$208,12,FALSE)=N161, "", IF(N161="x","+", "-"))</f>
        <v/>
      </c>
      <c r="AE161" s="1" t="str">
        <f>IF(VLOOKUP($C161,Intermediate!$C$2:$R$208,13,FALSE)=O161, "", IF(O161="x","+", "-"))</f>
        <v/>
      </c>
      <c r="AF161" s="1" t="str">
        <f>IF(VLOOKUP($C161,Intermediate!$C$2:$R$208,14,FALSE)=P161, "", IF(P161="x","+", "-"))</f>
        <v/>
      </c>
      <c r="AG161" s="1" t="str">
        <f>IF(VLOOKUP($C161,Intermediate!$C$2:$R$208,15,FALSE)=Q161, "", IF(Q161="x","+", "-"))</f>
        <v/>
      </c>
      <c r="AH161" s="1" t="str">
        <f>IF(VLOOKUP($C161,Intermediate!$C$2:$R$208,16,FALSE)=R161, "", IF(R161="x","+", "-"))</f>
        <v/>
      </c>
    </row>
    <row r="162" spans="1:34" ht="15" customHeight="1" x14ac:dyDescent="0.2">
      <c r="A162" s="7" t="s">
        <v>180</v>
      </c>
      <c r="B162" s="7" t="s">
        <v>27</v>
      </c>
      <c r="C162" s="9" t="str">
        <f t="shared" si="2"/>
        <v>UVA Introductie in Programmeren</v>
      </c>
      <c r="D162" s="10"/>
      <c r="E162" s="10"/>
      <c r="F162" s="11"/>
      <c r="G162" s="10" t="s">
        <v>19</v>
      </c>
      <c r="H162" s="11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"/>
      <c r="T162" s="1" t="str">
        <f>IF(VLOOKUP($C162,Intermediate!$C$2:$R$208,2,FALSE)=D162, "", IF(D162="x","+", "-"))</f>
        <v/>
      </c>
      <c r="U162" s="1" t="str">
        <f>IF(VLOOKUP($C162,Intermediate!$C$2:$R$208,3,FALSE)=E162, "", IF(E162="x","+", "-"))</f>
        <v/>
      </c>
      <c r="V162" s="1" t="str">
        <f>IF(VLOOKUP($C162,Intermediate!$C$2:$R$208,4,FALSE)=F162, "", IF(F162="x","+", "-"))</f>
        <v/>
      </c>
      <c r="W162" s="1" t="str">
        <f>IF(VLOOKUP($C162,Intermediate!$C$2:$R$208,5,FALSE)=G162, "", IF(G162="x","+", "-"))</f>
        <v/>
      </c>
      <c r="X162" s="1" t="str">
        <f>IF(VLOOKUP($C162,Intermediate!$C$2:$R$208,6,FALSE)=H162, "", IF(H162="x","+", "-"))</f>
        <v/>
      </c>
      <c r="Y162" s="1" t="str">
        <f>IF(VLOOKUP($C162,Intermediate!$C$2:$R$208,7,FALSE)=I162, "", IF(I162="x","+", "-"))</f>
        <v/>
      </c>
      <c r="Z162" s="1" t="str">
        <f>IF(VLOOKUP($C162,Intermediate!$C$2:$R$208,8,FALSE)=J162, "", IF(J162="x","+", "-"))</f>
        <v/>
      </c>
      <c r="AA162" s="1" t="str">
        <f>IF(VLOOKUP($C162,Intermediate!$C$2:$R$208,9,FALSE)=K162, "", IF(K162="x","+", "-"))</f>
        <v/>
      </c>
      <c r="AB162" s="1" t="str">
        <f>IF(VLOOKUP($C162,Intermediate!$C$2:$R$208,10,FALSE)=L162, "", IF(L162="x","+", "-"))</f>
        <v/>
      </c>
      <c r="AC162" s="1" t="str">
        <f>IF(VLOOKUP($C162,Intermediate!$C$2:$R$208,11,FALSE)=M162, "", IF(M162="x","+", "-"))</f>
        <v/>
      </c>
      <c r="AD162" s="1" t="str">
        <f>IF(VLOOKUP($C162,Intermediate!$C$2:$R$208,12,FALSE)=N162, "", IF(N162="x","+", "-"))</f>
        <v/>
      </c>
      <c r="AE162" s="1" t="str">
        <f>IF(VLOOKUP($C162,Intermediate!$C$2:$R$208,13,FALSE)=O162, "", IF(O162="x","+", "-"))</f>
        <v/>
      </c>
      <c r="AF162" s="1" t="str">
        <f>IF(VLOOKUP($C162,Intermediate!$C$2:$R$208,14,FALSE)=P162, "", IF(P162="x","+", "-"))</f>
        <v/>
      </c>
      <c r="AG162" s="1" t="str">
        <f>IF(VLOOKUP($C162,Intermediate!$C$2:$R$208,15,FALSE)=Q162, "", IF(Q162="x","+", "-"))</f>
        <v/>
      </c>
      <c r="AH162" s="1" t="str">
        <f>IF(VLOOKUP($C162,Intermediate!$C$2:$R$208,16,FALSE)=R162, "", IF(R162="x","+", "-"))</f>
        <v/>
      </c>
    </row>
    <row r="163" spans="1:34" ht="15" customHeight="1" x14ac:dyDescent="0.2">
      <c r="A163" s="7" t="s">
        <v>181</v>
      </c>
      <c r="B163" s="7" t="s">
        <v>27</v>
      </c>
      <c r="C163" s="9" t="str">
        <f t="shared" si="2"/>
        <v>UVA Programeerproject</v>
      </c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7"/>
      <c r="T163" s="1" t="str">
        <f>IF(VLOOKUP($C163,Intermediate!$C$2:$R$208,2,FALSE)=D163, "", IF(D163="x","+", "-"))</f>
        <v/>
      </c>
      <c r="U163" s="1" t="str">
        <f>IF(VLOOKUP($C163,Intermediate!$C$2:$R$208,3,FALSE)=E163, "", IF(E163="x","+", "-"))</f>
        <v/>
      </c>
      <c r="V163" s="1" t="str">
        <f>IF(VLOOKUP($C163,Intermediate!$C$2:$R$208,4,FALSE)=F163, "", IF(F163="x","+", "-"))</f>
        <v/>
      </c>
      <c r="W163" s="1" t="str">
        <f>IF(VLOOKUP($C163,Intermediate!$C$2:$R$208,5,FALSE)=G163, "", IF(G163="x","+", "-"))</f>
        <v/>
      </c>
      <c r="X163" s="1" t="str">
        <f>IF(VLOOKUP($C163,Intermediate!$C$2:$R$208,6,FALSE)=H163, "", IF(H163="x","+", "-"))</f>
        <v/>
      </c>
      <c r="Y163" s="1" t="str">
        <f>IF(VLOOKUP($C163,Intermediate!$C$2:$R$208,7,FALSE)=I163, "", IF(I163="x","+", "-"))</f>
        <v/>
      </c>
      <c r="Z163" s="1" t="str">
        <f>IF(VLOOKUP($C163,Intermediate!$C$2:$R$208,8,FALSE)=J163, "", IF(J163="x","+", "-"))</f>
        <v/>
      </c>
      <c r="AA163" s="1" t="str">
        <f>IF(VLOOKUP($C163,Intermediate!$C$2:$R$208,9,FALSE)=K163, "", IF(K163="x","+", "-"))</f>
        <v/>
      </c>
      <c r="AB163" s="1" t="str">
        <f>IF(VLOOKUP($C163,Intermediate!$C$2:$R$208,10,FALSE)=L163, "", IF(L163="x","+", "-"))</f>
        <v/>
      </c>
      <c r="AC163" s="1" t="str">
        <f>IF(VLOOKUP($C163,Intermediate!$C$2:$R$208,11,FALSE)=M163, "", IF(M163="x","+", "-"))</f>
        <v/>
      </c>
      <c r="AD163" s="1" t="str">
        <f>IF(VLOOKUP($C163,Intermediate!$C$2:$R$208,12,FALSE)=N163, "", IF(N163="x","+", "-"))</f>
        <v/>
      </c>
      <c r="AE163" s="1" t="str">
        <f>IF(VLOOKUP($C163,Intermediate!$C$2:$R$208,13,FALSE)=O163, "", IF(O163="x","+", "-"))</f>
        <v/>
      </c>
      <c r="AF163" s="1" t="str">
        <f>IF(VLOOKUP($C163,Intermediate!$C$2:$R$208,14,FALSE)=P163, "", IF(P163="x","+", "-"))</f>
        <v/>
      </c>
      <c r="AG163" s="1" t="str">
        <f>IF(VLOOKUP($C163,Intermediate!$C$2:$R$208,15,FALSE)=Q163, "", IF(Q163="x","+", "-"))</f>
        <v/>
      </c>
      <c r="AH163" s="1" t="str">
        <f>IF(VLOOKUP($C163,Intermediate!$C$2:$R$208,16,FALSE)=R163, "", IF(R163="x","+", "-"))</f>
        <v/>
      </c>
    </row>
    <row r="164" spans="1:34" ht="15" customHeight="1" x14ac:dyDescent="0.2">
      <c r="A164" s="7" t="s">
        <v>182</v>
      </c>
      <c r="B164" s="7" t="s">
        <v>27</v>
      </c>
      <c r="C164" s="9" t="str">
        <f t="shared" si="2"/>
        <v>UVA Programmeertalen</v>
      </c>
      <c r="D164" s="10"/>
      <c r="E164" s="10"/>
      <c r="F164" s="10"/>
      <c r="G164" s="10" t="s">
        <v>19</v>
      </c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 t="s">
        <v>19</v>
      </c>
      <c r="S164" s="7"/>
      <c r="T164" s="1" t="str">
        <f>IF(VLOOKUP($C164,Intermediate!$C$2:$R$208,2,FALSE)=D164, "", IF(D164="x","+", "-"))</f>
        <v/>
      </c>
      <c r="U164" s="1" t="str">
        <f>IF(VLOOKUP($C164,Intermediate!$C$2:$R$208,3,FALSE)=E164, "", IF(E164="x","+", "-"))</f>
        <v/>
      </c>
      <c r="V164" s="1" t="str">
        <f>IF(VLOOKUP($C164,Intermediate!$C$2:$R$208,4,FALSE)=F164, "", IF(F164="x","+", "-"))</f>
        <v/>
      </c>
      <c r="W164" s="1" t="str">
        <f>IF(VLOOKUP($C164,Intermediate!$C$2:$R$208,5,FALSE)=G164, "", IF(G164="x","+", "-"))</f>
        <v/>
      </c>
      <c r="X164" s="1" t="str">
        <f>IF(VLOOKUP($C164,Intermediate!$C$2:$R$208,6,FALSE)=H164, "", IF(H164="x","+", "-"))</f>
        <v/>
      </c>
      <c r="Y164" s="1" t="str">
        <f>IF(VLOOKUP($C164,Intermediate!$C$2:$R$208,7,FALSE)=I164, "", IF(I164="x","+", "-"))</f>
        <v/>
      </c>
      <c r="Z164" s="1" t="str">
        <f>IF(VLOOKUP($C164,Intermediate!$C$2:$R$208,8,FALSE)=J164, "", IF(J164="x","+", "-"))</f>
        <v/>
      </c>
      <c r="AA164" s="1" t="str">
        <f>IF(VLOOKUP($C164,Intermediate!$C$2:$R$208,9,FALSE)=K164, "", IF(K164="x","+", "-"))</f>
        <v/>
      </c>
      <c r="AB164" s="1" t="str">
        <f>IF(VLOOKUP($C164,Intermediate!$C$2:$R$208,10,FALSE)=L164, "", IF(L164="x","+", "-"))</f>
        <v/>
      </c>
      <c r="AC164" s="1" t="str">
        <f>IF(VLOOKUP($C164,Intermediate!$C$2:$R$208,11,FALSE)=M164, "", IF(M164="x","+", "-"))</f>
        <v/>
      </c>
      <c r="AD164" s="1" t="str">
        <f>IF(VLOOKUP($C164,Intermediate!$C$2:$R$208,12,FALSE)=N164, "", IF(N164="x","+", "-"))</f>
        <v/>
      </c>
      <c r="AE164" s="1" t="str">
        <f>IF(VLOOKUP($C164,Intermediate!$C$2:$R$208,13,FALSE)=O164, "", IF(O164="x","+", "-"))</f>
        <v/>
      </c>
      <c r="AF164" s="1" t="str">
        <f>IF(VLOOKUP($C164,Intermediate!$C$2:$R$208,14,FALSE)=P164, "", IF(P164="x","+", "-"))</f>
        <v/>
      </c>
      <c r="AG164" s="1" t="str">
        <f>IF(VLOOKUP($C164,Intermediate!$C$2:$R$208,15,FALSE)=Q164, "", IF(Q164="x","+", "-"))</f>
        <v/>
      </c>
      <c r="AH164" s="1" t="str">
        <f>IF(VLOOKUP($C164,Intermediate!$C$2:$R$208,16,FALSE)=R164, "", IF(R164="x","+", "-"))</f>
        <v/>
      </c>
    </row>
    <row r="165" spans="1:34" ht="15" customHeight="1" x14ac:dyDescent="0.2">
      <c r="A165" s="7" t="s">
        <v>183</v>
      </c>
      <c r="B165" s="7" t="s">
        <v>27</v>
      </c>
      <c r="C165" s="9" t="str">
        <f t="shared" si="2"/>
        <v>UVA Programmeren 1</v>
      </c>
      <c r="D165" s="10"/>
      <c r="E165" s="10"/>
      <c r="F165" s="13"/>
      <c r="G165" s="10" t="s">
        <v>19</v>
      </c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7"/>
      <c r="T165" s="1" t="str">
        <f>IF(VLOOKUP($C165,Intermediate!$C$2:$R$208,2,FALSE)=D165, "", IF(D165="x","+", "-"))</f>
        <v/>
      </c>
      <c r="U165" s="1" t="str">
        <f>IF(VLOOKUP($C165,Intermediate!$C$2:$R$208,3,FALSE)=E165, "", IF(E165="x","+", "-"))</f>
        <v/>
      </c>
      <c r="V165" s="1" t="str">
        <f>IF(VLOOKUP($C165,Intermediate!$C$2:$R$208,4,FALSE)=F165, "", IF(F165="x","+", "-"))</f>
        <v/>
      </c>
      <c r="W165" s="1" t="str">
        <f>IF(VLOOKUP($C165,Intermediate!$C$2:$R$208,5,FALSE)=G165, "", IF(G165="x","+", "-"))</f>
        <v/>
      </c>
      <c r="X165" s="1" t="str">
        <f>IF(VLOOKUP($C165,Intermediate!$C$2:$R$208,6,FALSE)=H165, "", IF(H165="x","+", "-"))</f>
        <v/>
      </c>
      <c r="Y165" s="1" t="str">
        <f>IF(VLOOKUP($C165,Intermediate!$C$2:$R$208,7,FALSE)=I165, "", IF(I165="x","+", "-"))</f>
        <v/>
      </c>
      <c r="Z165" s="1" t="str">
        <f>IF(VLOOKUP($C165,Intermediate!$C$2:$R$208,8,FALSE)=J165, "", IF(J165="x","+", "-"))</f>
        <v/>
      </c>
      <c r="AA165" s="1" t="str">
        <f>IF(VLOOKUP($C165,Intermediate!$C$2:$R$208,9,FALSE)=K165, "", IF(K165="x","+", "-"))</f>
        <v/>
      </c>
      <c r="AB165" s="1" t="str">
        <f>IF(VLOOKUP($C165,Intermediate!$C$2:$R$208,10,FALSE)=L165, "", IF(L165="x","+", "-"))</f>
        <v/>
      </c>
      <c r="AC165" s="1" t="str">
        <f>IF(VLOOKUP($C165,Intermediate!$C$2:$R$208,11,FALSE)=M165, "", IF(M165="x","+", "-"))</f>
        <v/>
      </c>
      <c r="AD165" s="1" t="str">
        <f>IF(VLOOKUP($C165,Intermediate!$C$2:$R$208,12,FALSE)=N165, "", IF(N165="x","+", "-"))</f>
        <v/>
      </c>
      <c r="AE165" s="1" t="str">
        <f>IF(VLOOKUP($C165,Intermediate!$C$2:$R$208,13,FALSE)=O165, "", IF(O165="x","+", "-"))</f>
        <v/>
      </c>
      <c r="AF165" s="1" t="str">
        <f>IF(VLOOKUP($C165,Intermediate!$C$2:$R$208,14,FALSE)=P165, "", IF(P165="x","+", "-"))</f>
        <v/>
      </c>
      <c r="AG165" s="1" t="str">
        <f>IF(VLOOKUP($C165,Intermediate!$C$2:$R$208,15,FALSE)=Q165, "", IF(Q165="x","+", "-"))</f>
        <v/>
      </c>
      <c r="AH165" s="1" t="str">
        <f>IF(VLOOKUP($C165,Intermediate!$C$2:$R$208,16,FALSE)=R165, "", IF(R165="x","+", "-"))</f>
        <v/>
      </c>
    </row>
    <row r="166" spans="1:34" ht="15" customHeight="1" x14ac:dyDescent="0.2">
      <c r="A166" s="7" t="s">
        <v>184</v>
      </c>
      <c r="B166" s="7" t="s">
        <v>27</v>
      </c>
      <c r="C166" s="9" t="str">
        <f t="shared" si="2"/>
        <v>UVA Programmeren 2</v>
      </c>
      <c r="D166" s="10"/>
      <c r="E166" s="10"/>
      <c r="F166" s="14"/>
      <c r="G166" s="10" t="s">
        <v>19</v>
      </c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7"/>
      <c r="T166" s="1" t="str">
        <f>IF(VLOOKUP($C166,Intermediate!$C$2:$R$208,2,FALSE)=D166, "", IF(D166="x","+", "-"))</f>
        <v/>
      </c>
      <c r="U166" s="1" t="str">
        <f>IF(VLOOKUP($C166,Intermediate!$C$2:$R$208,3,FALSE)=E166, "", IF(E166="x","+", "-"))</f>
        <v/>
      </c>
      <c r="V166" s="1" t="str">
        <f>IF(VLOOKUP($C166,Intermediate!$C$2:$R$208,4,FALSE)=F166, "", IF(F166="x","+", "-"))</f>
        <v/>
      </c>
      <c r="W166" s="1" t="str">
        <f>IF(VLOOKUP($C166,Intermediate!$C$2:$R$208,5,FALSE)=G166, "", IF(G166="x","+", "-"))</f>
        <v/>
      </c>
      <c r="X166" s="1" t="str">
        <f>IF(VLOOKUP($C166,Intermediate!$C$2:$R$208,6,FALSE)=H166, "", IF(H166="x","+", "-"))</f>
        <v/>
      </c>
      <c r="Y166" s="1" t="str">
        <f>IF(VLOOKUP($C166,Intermediate!$C$2:$R$208,7,FALSE)=I166, "", IF(I166="x","+", "-"))</f>
        <v/>
      </c>
      <c r="Z166" s="1" t="str">
        <f>IF(VLOOKUP($C166,Intermediate!$C$2:$R$208,8,FALSE)=J166, "", IF(J166="x","+", "-"))</f>
        <v/>
      </c>
      <c r="AA166" s="1" t="str">
        <f>IF(VLOOKUP($C166,Intermediate!$C$2:$R$208,9,FALSE)=K166, "", IF(K166="x","+", "-"))</f>
        <v/>
      </c>
      <c r="AB166" s="1" t="str">
        <f>IF(VLOOKUP($C166,Intermediate!$C$2:$R$208,10,FALSE)=L166, "", IF(L166="x","+", "-"))</f>
        <v/>
      </c>
      <c r="AC166" s="1" t="str">
        <f>IF(VLOOKUP($C166,Intermediate!$C$2:$R$208,11,FALSE)=M166, "", IF(M166="x","+", "-"))</f>
        <v/>
      </c>
      <c r="AD166" s="1" t="str">
        <f>IF(VLOOKUP($C166,Intermediate!$C$2:$R$208,12,FALSE)=N166, "", IF(N166="x","+", "-"))</f>
        <v/>
      </c>
      <c r="AE166" s="1" t="str">
        <f>IF(VLOOKUP($C166,Intermediate!$C$2:$R$208,13,FALSE)=O166, "", IF(O166="x","+", "-"))</f>
        <v/>
      </c>
      <c r="AF166" s="1" t="str">
        <f>IF(VLOOKUP($C166,Intermediate!$C$2:$R$208,14,FALSE)=P166, "", IF(P166="x","+", "-"))</f>
        <v/>
      </c>
      <c r="AG166" s="1" t="str">
        <f>IF(VLOOKUP($C166,Intermediate!$C$2:$R$208,15,FALSE)=Q166, "", IF(Q166="x","+", "-"))</f>
        <v/>
      </c>
      <c r="AH166" s="1" t="str">
        <f>IF(VLOOKUP($C166,Intermediate!$C$2:$R$208,16,FALSE)=R166, "", IF(R166="x","+", "-"))</f>
        <v/>
      </c>
    </row>
    <row r="167" spans="1:34" ht="15" customHeight="1" x14ac:dyDescent="0.2">
      <c r="A167" s="7" t="s">
        <v>185</v>
      </c>
      <c r="B167" s="7" t="s">
        <v>27</v>
      </c>
      <c r="C167" s="9" t="str">
        <f t="shared" si="2"/>
        <v>UVA Programmeren en Experimenteren</v>
      </c>
      <c r="D167" s="10"/>
      <c r="E167" s="10"/>
      <c r="F167" s="14"/>
      <c r="G167" s="10" t="s">
        <v>19</v>
      </c>
      <c r="H167" s="13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"/>
      <c r="T167" s="1" t="str">
        <f>IF(VLOOKUP($C167,Intermediate!$C$2:$R$208,2,FALSE)=D167, "", IF(D167="x","+", "-"))</f>
        <v/>
      </c>
      <c r="U167" s="1" t="str">
        <f>IF(VLOOKUP($C167,Intermediate!$C$2:$R$208,3,FALSE)=E167, "", IF(E167="x","+", "-"))</f>
        <v/>
      </c>
      <c r="V167" s="1" t="str">
        <f>IF(VLOOKUP($C167,Intermediate!$C$2:$R$208,4,FALSE)=F167, "", IF(F167="x","+", "-"))</f>
        <v/>
      </c>
      <c r="W167" s="1" t="str">
        <f>IF(VLOOKUP($C167,Intermediate!$C$2:$R$208,5,FALSE)=G167, "", IF(G167="x","+", "-"))</f>
        <v/>
      </c>
      <c r="X167" s="1" t="str">
        <f>IF(VLOOKUP($C167,Intermediate!$C$2:$R$208,6,FALSE)=H167, "", IF(H167="x","+", "-"))</f>
        <v/>
      </c>
      <c r="Y167" s="1" t="str">
        <f>IF(VLOOKUP($C167,Intermediate!$C$2:$R$208,7,FALSE)=I167, "", IF(I167="x","+", "-"))</f>
        <v/>
      </c>
      <c r="Z167" s="1" t="str">
        <f>IF(VLOOKUP($C167,Intermediate!$C$2:$R$208,8,FALSE)=J167, "", IF(J167="x","+", "-"))</f>
        <v/>
      </c>
      <c r="AA167" s="1" t="str">
        <f>IF(VLOOKUP($C167,Intermediate!$C$2:$R$208,9,FALSE)=K167, "", IF(K167="x","+", "-"))</f>
        <v/>
      </c>
      <c r="AB167" s="1" t="str">
        <f>IF(VLOOKUP($C167,Intermediate!$C$2:$R$208,10,FALSE)=L167, "", IF(L167="x","+", "-"))</f>
        <v/>
      </c>
      <c r="AC167" s="1" t="str">
        <f>IF(VLOOKUP($C167,Intermediate!$C$2:$R$208,11,FALSE)=M167, "", IF(M167="x","+", "-"))</f>
        <v/>
      </c>
      <c r="AD167" s="1" t="str">
        <f>IF(VLOOKUP($C167,Intermediate!$C$2:$R$208,12,FALSE)=N167, "", IF(N167="x","+", "-"))</f>
        <v/>
      </c>
      <c r="AE167" s="1" t="str">
        <f>IF(VLOOKUP($C167,Intermediate!$C$2:$R$208,13,FALSE)=O167, "", IF(O167="x","+", "-"))</f>
        <v/>
      </c>
      <c r="AF167" s="1" t="str">
        <f>IF(VLOOKUP($C167,Intermediate!$C$2:$R$208,14,FALSE)=P167, "", IF(P167="x","+", "-"))</f>
        <v/>
      </c>
      <c r="AG167" s="1" t="str">
        <f>IF(VLOOKUP($C167,Intermediate!$C$2:$R$208,15,FALSE)=Q167, "", IF(Q167="x","+", "-"))</f>
        <v/>
      </c>
      <c r="AH167" s="1" t="str">
        <f>IF(VLOOKUP($C167,Intermediate!$C$2:$R$208,16,FALSE)=R167, "", IF(R167="x","+", "-"))</f>
        <v/>
      </c>
    </row>
    <row r="168" spans="1:34" ht="15" customHeight="1" x14ac:dyDescent="0.2">
      <c r="A168" s="7" t="s">
        <v>186</v>
      </c>
      <c r="B168" s="7" t="s">
        <v>27</v>
      </c>
      <c r="C168" s="9" t="str">
        <f t="shared" si="2"/>
        <v>UVA Programmeren IK</v>
      </c>
      <c r="D168" s="10"/>
      <c r="E168" s="10"/>
      <c r="F168" s="11"/>
      <c r="G168" s="10" t="s">
        <v>19</v>
      </c>
      <c r="H168" s="14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7"/>
      <c r="T168" s="1" t="str">
        <f>IF(VLOOKUP($C168,Intermediate!$C$2:$R$208,2,FALSE)=D168, "", IF(D168="x","+", "-"))</f>
        <v/>
      </c>
      <c r="U168" s="1" t="str">
        <f>IF(VLOOKUP($C168,Intermediate!$C$2:$R$208,3,FALSE)=E168, "", IF(E168="x","+", "-"))</f>
        <v/>
      </c>
      <c r="V168" s="1" t="str">
        <f>IF(VLOOKUP($C168,Intermediate!$C$2:$R$208,4,FALSE)=F168, "", IF(F168="x","+", "-"))</f>
        <v/>
      </c>
      <c r="W168" s="1" t="str">
        <f>IF(VLOOKUP($C168,Intermediate!$C$2:$R$208,5,FALSE)=G168, "", IF(G168="x","+", "-"))</f>
        <v/>
      </c>
      <c r="X168" s="1" t="str">
        <f>IF(VLOOKUP($C168,Intermediate!$C$2:$R$208,6,FALSE)=H168, "", IF(H168="x","+", "-"))</f>
        <v/>
      </c>
      <c r="Y168" s="1" t="str">
        <f>IF(VLOOKUP($C168,Intermediate!$C$2:$R$208,7,FALSE)=I168, "", IF(I168="x","+", "-"))</f>
        <v/>
      </c>
      <c r="Z168" s="1" t="str">
        <f>IF(VLOOKUP($C168,Intermediate!$C$2:$R$208,8,FALSE)=J168, "", IF(J168="x","+", "-"))</f>
        <v/>
      </c>
      <c r="AA168" s="1" t="str">
        <f>IF(VLOOKUP($C168,Intermediate!$C$2:$R$208,9,FALSE)=K168, "", IF(K168="x","+", "-"))</f>
        <v/>
      </c>
      <c r="AB168" s="1" t="str">
        <f>IF(VLOOKUP($C168,Intermediate!$C$2:$R$208,10,FALSE)=L168, "", IF(L168="x","+", "-"))</f>
        <v/>
      </c>
      <c r="AC168" s="1" t="str">
        <f>IF(VLOOKUP($C168,Intermediate!$C$2:$R$208,11,FALSE)=M168, "", IF(M168="x","+", "-"))</f>
        <v/>
      </c>
      <c r="AD168" s="1" t="str">
        <f>IF(VLOOKUP($C168,Intermediate!$C$2:$R$208,12,FALSE)=N168, "", IF(N168="x","+", "-"))</f>
        <v/>
      </c>
      <c r="AE168" s="1" t="str">
        <f>IF(VLOOKUP($C168,Intermediate!$C$2:$R$208,13,FALSE)=O168, "", IF(O168="x","+", "-"))</f>
        <v/>
      </c>
      <c r="AF168" s="1" t="str">
        <f>IF(VLOOKUP($C168,Intermediate!$C$2:$R$208,14,FALSE)=P168, "", IF(P168="x","+", "-"))</f>
        <v/>
      </c>
      <c r="AG168" s="1" t="str">
        <f>IF(VLOOKUP($C168,Intermediate!$C$2:$R$208,15,FALSE)=Q168, "", IF(Q168="x","+", "-"))</f>
        <v/>
      </c>
      <c r="AH168" s="1" t="str">
        <f>IF(VLOOKUP($C168,Intermediate!$C$2:$R$208,16,FALSE)=R168, "", IF(R168="x","+", "-"))</f>
        <v/>
      </c>
    </row>
    <row r="169" spans="1:34" ht="15" customHeight="1" x14ac:dyDescent="0.2">
      <c r="A169" s="7" t="s">
        <v>187</v>
      </c>
      <c r="B169" s="7" t="s">
        <v>27</v>
      </c>
      <c r="C169" s="9" t="str">
        <f t="shared" si="2"/>
        <v>UVA Programming for Computational Sciences</v>
      </c>
      <c r="D169" s="10"/>
      <c r="E169" s="10"/>
      <c r="F169" s="10"/>
      <c r="G169" s="10" t="s">
        <v>19</v>
      </c>
      <c r="H169" s="14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7"/>
      <c r="T169" s="1" t="str">
        <f>IF(VLOOKUP($C169,Intermediate!$C$2:$R$208,2,FALSE)=D169, "", IF(D169="x","+", "-"))</f>
        <v/>
      </c>
      <c r="U169" s="1" t="str">
        <f>IF(VLOOKUP($C169,Intermediate!$C$2:$R$208,3,FALSE)=E169, "", IF(E169="x","+", "-"))</f>
        <v/>
      </c>
      <c r="V169" s="1" t="str">
        <f>IF(VLOOKUP($C169,Intermediate!$C$2:$R$208,4,FALSE)=F169, "", IF(F169="x","+", "-"))</f>
        <v/>
      </c>
      <c r="W169" s="1" t="str">
        <f>IF(VLOOKUP($C169,Intermediate!$C$2:$R$208,5,FALSE)=G169, "", IF(G169="x","+", "-"))</f>
        <v/>
      </c>
      <c r="X169" s="1" t="str">
        <f>IF(VLOOKUP($C169,Intermediate!$C$2:$R$208,6,FALSE)=H169, "", IF(H169="x","+", "-"))</f>
        <v/>
      </c>
      <c r="Y169" s="1" t="str">
        <f>IF(VLOOKUP($C169,Intermediate!$C$2:$R$208,7,FALSE)=I169, "", IF(I169="x","+", "-"))</f>
        <v/>
      </c>
      <c r="Z169" s="1" t="str">
        <f>IF(VLOOKUP($C169,Intermediate!$C$2:$R$208,8,FALSE)=J169, "", IF(J169="x","+", "-"))</f>
        <v/>
      </c>
      <c r="AA169" s="1" t="str">
        <f>IF(VLOOKUP($C169,Intermediate!$C$2:$R$208,9,FALSE)=K169, "", IF(K169="x","+", "-"))</f>
        <v/>
      </c>
      <c r="AB169" s="1" t="str">
        <f>IF(VLOOKUP($C169,Intermediate!$C$2:$R$208,10,FALSE)=L169, "", IF(L169="x","+", "-"))</f>
        <v/>
      </c>
      <c r="AC169" s="1" t="str">
        <f>IF(VLOOKUP($C169,Intermediate!$C$2:$R$208,11,FALSE)=M169, "", IF(M169="x","+", "-"))</f>
        <v/>
      </c>
      <c r="AD169" s="1" t="str">
        <f>IF(VLOOKUP($C169,Intermediate!$C$2:$R$208,12,FALSE)=N169, "", IF(N169="x","+", "-"))</f>
        <v/>
      </c>
      <c r="AE169" s="1" t="str">
        <f>IF(VLOOKUP($C169,Intermediate!$C$2:$R$208,13,FALSE)=O169, "", IF(O169="x","+", "-"))</f>
        <v/>
      </c>
      <c r="AF169" s="1" t="str">
        <f>IF(VLOOKUP($C169,Intermediate!$C$2:$R$208,14,FALSE)=P169, "", IF(P169="x","+", "-"))</f>
        <v/>
      </c>
      <c r="AG169" s="1" t="str">
        <f>IF(VLOOKUP($C169,Intermediate!$C$2:$R$208,15,FALSE)=Q169, "", IF(Q169="x","+", "-"))</f>
        <v/>
      </c>
      <c r="AH169" s="1" t="str">
        <f>IF(VLOOKUP($C169,Intermediate!$C$2:$R$208,16,FALSE)=R169, "", IF(R169="x","+", "-"))</f>
        <v/>
      </c>
    </row>
    <row r="170" spans="1:34" ht="15" customHeight="1" x14ac:dyDescent="0.2">
      <c r="A170" s="7" t="s">
        <v>188</v>
      </c>
      <c r="B170" s="7" t="s">
        <v>27</v>
      </c>
      <c r="C170" s="9" t="str">
        <f t="shared" si="2"/>
        <v>UVA Programming in R</v>
      </c>
      <c r="D170" s="10"/>
      <c r="E170" s="10"/>
      <c r="F170" s="10"/>
      <c r="G170" s="10" t="s">
        <v>19</v>
      </c>
      <c r="H170" s="11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7"/>
      <c r="T170" s="1" t="str">
        <f>IF(VLOOKUP($C170,Intermediate!$C$2:$R$208,2,FALSE)=D170, "", IF(D170="x","+", "-"))</f>
        <v/>
      </c>
      <c r="U170" s="1" t="str">
        <f>IF(VLOOKUP($C170,Intermediate!$C$2:$R$208,3,FALSE)=E170, "", IF(E170="x","+", "-"))</f>
        <v/>
      </c>
      <c r="V170" s="1" t="str">
        <f>IF(VLOOKUP($C170,Intermediate!$C$2:$R$208,4,FALSE)=F170, "", IF(F170="x","+", "-"))</f>
        <v/>
      </c>
      <c r="W170" s="1" t="str">
        <f>IF(VLOOKUP($C170,Intermediate!$C$2:$R$208,5,FALSE)=G170, "", IF(G170="x","+", "-"))</f>
        <v/>
      </c>
      <c r="X170" s="1" t="str">
        <f>IF(VLOOKUP($C170,Intermediate!$C$2:$R$208,6,FALSE)=H170, "", IF(H170="x","+", "-"))</f>
        <v/>
      </c>
      <c r="Y170" s="1" t="str">
        <f>IF(VLOOKUP($C170,Intermediate!$C$2:$R$208,7,FALSE)=I170, "", IF(I170="x","+", "-"))</f>
        <v/>
      </c>
      <c r="Z170" s="1" t="str">
        <f>IF(VLOOKUP($C170,Intermediate!$C$2:$R$208,8,FALSE)=J170, "", IF(J170="x","+", "-"))</f>
        <v/>
      </c>
      <c r="AA170" s="1" t="str">
        <f>IF(VLOOKUP($C170,Intermediate!$C$2:$R$208,9,FALSE)=K170, "", IF(K170="x","+", "-"))</f>
        <v/>
      </c>
      <c r="AB170" s="1" t="str">
        <f>IF(VLOOKUP($C170,Intermediate!$C$2:$R$208,10,FALSE)=L170, "", IF(L170="x","+", "-"))</f>
        <v/>
      </c>
      <c r="AC170" s="1" t="str">
        <f>IF(VLOOKUP($C170,Intermediate!$C$2:$R$208,11,FALSE)=M170, "", IF(M170="x","+", "-"))</f>
        <v/>
      </c>
      <c r="AD170" s="1" t="str">
        <f>IF(VLOOKUP($C170,Intermediate!$C$2:$R$208,12,FALSE)=N170, "", IF(N170="x","+", "-"))</f>
        <v/>
      </c>
      <c r="AE170" s="1" t="str">
        <f>IF(VLOOKUP($C170,Intermediate!$C$2:$R$208,13,FALSE)=O170, "", IF(O170="x","+", "-"))</f>
        <v/>
      </c>
      <c r="AF170" s="1" t="str">
        <f>IF(VLOOKUP($C170,Intermediate!$C$2:$R$208,14,FALSE)=P170, "", IF(P170="x","+", "-"))</f>
        <v/>
      </c>
      <c r="AG170" s="1" t="str">
        <f>IF(VLOOKUP($C170,Intermediate!$C$2:$R$208,15,FALSE)=Q170, "", IF(Q170="x","+", "-"))</f>
        <v/>
      </c>
      <c r="AH170" s="1" t="str">
        <f>IF(VLOOKUP($C170,Intermediate!$C$2:$R$208,16,FALSE)=R170, "", IF(R170="x","+", "-"))</f>
        <v/>
      </c>
    </row>
    <row r="171" spans="1:34" ht="15" customHeight="1" x14ac:dyDescent="0.2">
      <c r="A171" s="7" t="s">
        <v>189</v>
      </c>
      <c r="B171" s="7" t="s">
        <v>27</v>
      </c>
      <c r="C171" s="9" t="str">
        <f t="shared" si="2"/>
        <v>UVA Project Software Engineering</v>
      </c>
      <c r="D171" s="10"/>
      <c r="E171" s="10"/>
      <c r="F171" s="10"/>
      <c r="G171" s="10"/>
      <c r="H171" s="13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7"/>
      <c r="T171" s="1" t="str">
        <f>IF(VLOOKUP($C171,Intermediate!$C$2:$R$208,2,FALSE)=D171, "", IF(D171="x","+", "-"))</f>
        <v/>
      </c>
      <c r="U171" s="1" t="str">
        <f>IF(VLOOKUP($C171,Intermediate!$C$2:$R$208,3,FALSE)=E171, "", IF(E171="x","+", "-"))</f>
        <v/>
      </c>
      <c r="V171" s="1" t="str">
        <f>IF(VLOOKUP($C171,Intermediate!$C$2:$R$208,4,FALSE)=F171, "", IF(F171="x","+", "-"))</f>
        <v/>
      </c>
      <c r="W171" s="1" t="str">
        <f>IF(VLOOKUP($C171,Intermediate!$C$2:$R$208,5,FALSE)=G171, "", IF(G171="x","+", "-"))</f>
        <v/>
      </c>
      <c r="X171" s="1" t="str">
        <f>IF(VLOOKUP($C171,Intermediate!$C$2:$R$208,6,FALSE)=H171, "", IF(H171="x","+", "-"))</f>
        <v/>
      </c>
      <c r="Y171" s="1" t="str">
        <f>IF(VLOOKUP($C171,Intermediate!$C$2:$R$208,7,FALSE)=I171, "", IF(I171="x","+", "-"))</f>
        <v/>
      </c>
      <c r="Z171" s="1" t="str">
        <f>IF(VLOOKUP($C171,Intermediate!$C$2:$R$208,8,FALSE)=J171, "", IF(J171="x","+", "-"))</f>
        <v/>
      </c>
      <c r="AA171" s="1" t="str">
        <f>IF(VLOOKUP($C171,Intermediate!$C$2:$R$208,9,FALSE)=K171, "", IF(K171="x","+", "-"))</f>
        <v/>
      </c>
      <c r="AB171" s="1" t="str">
        <f>IF(VLOOKUP($C171,Intermediate!$C$2:$R$208,10,FALSE)=L171, "", IF(L171="x","+", "-"))</f>
        <v/>
      </c>
      <c r="AC171" s="1" t="str">
        <f>IF(VLOOKUP($C171,Intermediate!$C$2:$R$208,11,FALSE)=M171, "", IF(M171="x","+", "-"))</f>
        <v/>
      </c>
      <c r="AD171" s="1" t="str">
        <f>IF(VLOOKUP($C171,Intermediate!$C$2:$R$208,12,FALSE)=N171, "", IF(N171="x","+", "-"))</f>
        <v/>
      </c>
      <c r="AE171" s="1" t="str">
        <f>IF(VLOOKUP($C171,Intermediate!$C$2:$R$208,13,FALSE)=O171, "", IF(O171="x","+", "-"))</f>
        <v/>
      </c>
      <c r="AF171" s="1" t="str">
        <f>IF(VLOOKUP($C171,Intermediate!$C$2:$R$208,14,FALSE)=P171, "", IF(P171="x","+", "-"))</f>
        <v/>
      </c>
      <c r="AG171" s="1" t="str">
        <f>IF(VLOOKUP($C171,Intermediate!$C$2:$R$208,15,FALSE)=Q171, "", IF(Q171="x","+", "-"))</f>
        <v/>
      </c>
      <c r="AH171" s="1" t="str">
        <f>IF(VLOOKUP($C171,Intermediate!$C$2:$R$208,16,FALSE)=R171, "", IF(R171="x","+", "-"))</f>
        <v/>
      </c>
    </row>
    <row r="172" spans="1:34" ht="15" customHeight="1" x14ac:dyDescent="0.2">
      <c r="A172" s="7" t="s">
        <v>190</v>
      </c>
      <c r="B172" s="7" t="s">
        <v>27</v>
      </c>
      <c r="C172" s="9" t="str">
        <f t="shared" si="2"/>
        <v>UVA Python for Data Processing</v>
      </c>
      <c r="D172" s="10"/>
      <c r="E172" s="10"/>
      <c r="F172" s="10"/>
      <c r="G172" s="10" t="s">
        <v>19</v>
      </c>
      <c r="H172" s="14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7"/>
      <c r="T172" s="1" t="str">
        <f>IF(VLOOKUP($C172,Intermediate!$C$2:$R$208,2,FALSE)=D172, "", IF(D172="x","+", "-"))</f>
        <v/>
      </c>
      <c r="U172" s="1" t="str">
        <f>IF(VLOOKUP($C172,Intermediate!$C$2:$R$208,3,FALSE)=E172, "", IF(E172="x","+", "-"))</f>
        <v/>
      </c>
      <c r="V172" s="1" t="str">
        <f>IF(VLOOKUP($C172,Intermediate!$C$2:$R$208,4,FALSE)=F172, "", IF(F172="x","+", "-"))</f>
        <v/>
      </c>
      <c r="W172" s="1" t="str">
        <f>IF(VLOOKUP($C172,Intermediate!$C$2:$R$208,5,FALSE)=G172, "", IF(G172="x","+", "-"))</f>
        <v/>
      </c>
      <c r="X172" s="1" t="str">
        <f>IF(VLOOKUP($C172,Intermediate!$C$2:$R$208,6,FALSE)=H172, "", IF(H172="x","+", "-"))</f>
        <v/>
      </c>
      <c r="Y172" s="1" t="str">
        <f>IF(VLOOKUP($C172,Intermediate!$C$2:$R$208,7,FALSE)=I172, "", IF(I172="x","+", "-"))</f>
        <v/>
      </c>
      <c r="Z172" s="1" t="str">
        <f>IF(VLOOKUP($C172,Intermediate!$C$2:$R$208,8,FALSE)=J172, "", IF(J172="x","+", "-"))</f>
        <v/>
      </c>
      <c r="AA172" s="1" t="str">
        <f>IF(VLOOKUP($C172,Intermediate!$C$2:$R$208,9,FALSE)=K172, "", IF(K172="x","+", "-"))</f>
        <v/>
      </c>
      <c r="AB172" s="1" t="str">
        <f>IF(VLOOKUP($C172,Intermediate!$C$2:$R$208,10,FALSE)=L172, "", IF(L172="x","+", "-"))</f>
        <v/>
      </c>
      <c r="AC172" s="1" t="str">
        <f>IF(VLOOKUP($C172,Intermediate!$C$2:$R$208,11,FALSE)=M172, "", IF(M172="x","+", "-"))</f>
        <v/>
      </c>
      <c r="AD172" s="1" t="str">
        <f>IF(VLOOKUP($C172,Intermediate!$C$2:$R$208,12,FALSE)=N172, "", IF(N172="x","+", "-"))</f>
        <v/>
      </c>
      <c r="AE172" s="1" t="str">
        <f>IF(VLOOKUP($C172,Intermediate!$C$2:$R$208,13,FALSE)=O172, "", IF(O172="x","+", "-"))</f>
        <v/>
      </c>
      <c r="AF172" s="1" t="str">
        <f>IF(VLOOKUP($C172,Intermediate!$C$2:$R$208,14,FALSE)=P172, "", IF(P172="x","+", "-"))</f>
        <v/>
      </c>
      <c r="AG172" s="1" t="str">
        <f>IF(VLOOKUP($C172,Intermediate!$C$2:$R$208,15,FALSE)=Q172, "", IF(Q172="x","+", "-"))</f>
        <v/>
      </c>
      <c r="AH172" s="1" t="str">
        <f>IF(VLOOKUP($C172,Intermediate!$C$2:$R$208,16,FALSE)=R172, "", IF(R172="x","+", "-"))</f>
        <v/>
      </c>
    </row>
    <row r="173" spans="1:34" ht="15" customHeight="1" x14ac:dyDescent="0.2">
      <c r="A173" s="7" t="s">
        <v>191</v>
      </c>
      <c r="B173" s="7" t="s">
        <v>27</v>
      </c>
      <c r="C173" s="9" t="str">
        <f t="shared" si="2"/>
        <v>UVA Scientific Programming 1</v>
      </c>
      <c r="D173" s="10"/>
      <c r="E173" s="10"/>
      <c r="F173" s="12"/>
      <c r="G173" s="10" t="s">
        <v>19</v>
      </c>
      <c r="H173" s="14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7"/>
      <c r="T173" s="1" t="str">
        <f>IF(VLOOKUP($C173,Intermediate!$C$2:$R$208,2,FALSE)=D173, "", IF(D173="x","+", "-"))</f>
        <v/>
      </c>
      <c r="U173" s="1" t="str">
        <f>IF(VLOOKUP($C173,Intermediate!$C$2:$R$208,3,FALSE)=E173, "", IF(E173="x","+", "-"))</f>
        <v/>
      </c>
      <c r="V173" s="1" t="str">
        <f>IF(VLOOKUP($C173,Intermediate!$C$2:$R$208,4,FALSE)=F173, "", IF(F173="x","+", "-"))</f>
        <v/>
      </c>
      <c r="W173" s="1" t="str">
        <f>IF(VLOOKUP($C173,Intermediate!$C$2:$R$208,5,FALSE)=G173, "", IF(G173="x","+", "-"))</f>
        <v/>
      </c>
      <c r="X173" s="1" t="str">
        <f>IF(VLOOKUP($C173,Intermediate!$C$2:$R$208,6,FALSE)=H173, "", IF(H173="x","+", "-"))</f>
        <v/>
      </c>
      <c r="Y173" s="1" t="str">
        <f>IF(VLOOKUP($C173,Intermediate!$C$2:$R$208,7,FALSE)=I173, "", IF(I173="x","+", "-"))</f>
        <v/>
      </c>
      <c r="Z173" s="1" t="str">
        <f>IF(VLOOKUP($C173,Intermediate!$C$2:$R$208,8,FALSE)=J173, "", IF(J173="x","+", "-"))</f>
        <v/>
      </c>
      <c r="AA173" s="1" t="str">
        <f>IF(VLOOKUP($C173,Intermediate!$C$2:$R$208,9,FALSE)=K173, "", IF(K173="x","+", "-"))</f>
        <v/>
      </c>
      <c r="AB173" s="1" t="str">
        <f>IF(VLOOKUP($C173,Intermediate!$C$2:$R$208,10,FALSE)=L173, "", IF(L173="x","+", "-"))</f>
        <v/>
      </c>
      <c r="AC173" s="1" t="str">
        <f>IF(VLOOKUP($C173,Intermediate!$C$2:$R$208,11,FALSE)=M173, "", IF(M173="x","+", "-"))</f>
        <v/>
      </c>
      <c r="AD173" s="1" t="str">
        <f>IF(VLOOKUP($C173,Intermediate!$C$2:$R$208,12,FALSE)=N173, "", IF(N173="x","+", "-"))</f>
        <v/>
      </c>
      <c r="AE173" s="1" t="str">
        <f>IF(VLOOKUP($C173,Intermediate!$C$2:$R$208,13,FALSE)=O173, "", IF(O173="x","+", "-"))</f>
        <v/>
      </c>
      <c r="AF173" s="1" t="str">
        <f>IF(VLOOKUP($C173,Intermediate!$C$2:$R$208,14,FALSE)=P173, "", IF(P173="x","+", "-"))</f>
        <v/>
      </c>
      <c r="AG173" s="1" t="str">
        <f>IF(VLOOKUP($C173,Intermediate!$C$2:$R$208,15,FALSE)=Q173, "", IF(Q173="x","+", "-"))</f>
        <v/>
      </c>
      <c r="AH173" s="1" t="str">
        <f>IF(VLOOKUP($C173,Intermediate!$C$2:$R$208,16,FALSE)=R173, "", IF(R173="x","+", "-"))</f>
        <v/>
      </c>
    </row>
    <row r="174" spans="1:34" ht="15" customHeight="1" x14ac:dyDescent="0.2">
      <c r="A174" s="7" t="s">
        <v>192</v>
      </c>
      <c r="B174" s="7" t="s">
        <v>27</v>
      </c>
      <c r="C174" s="9" t="str">
        <f t="shared" si="2"/>
        <v>UVA Scientific Programming 2</v>
      </c>
      <c r="D174" s="10"/>
      <c r="E174" s="10"/>
      <c r="F174" s="11"/>
      <c r="G174" s="10" t="s">
        <v>19</v>
      </c>
      <c r="H174" s="11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7"/>
      <c r="T174" s="1" t="str">
        <f>IF(VLOOKUP($C174,Intermediate!$C$2:$R$208,2,FALSE)=D174, "", IF(D174="x","+", "-"))</f>
        <v/>
      </c>
      <c r="U174" s="1" t="str">
        <f>IF(VLOOKUP($C174,Intermediate!$C$2:$R$208,3,FALSE)=E174, "", IF(E174="x","+", "-"))</f>
        <v/>
      </c>
      <c r="V174" s="1" t="str">
        <f>IF(VLOOKUP($C174,Intermediate!$C$2:$R$208,4,FALSE)=F174, "", IF(F174="x","+", "-"))</f>
        <v/>
      </c>
      <c r="W174" s="1" t="str">
        <f>IF(VLOOKUP($C174,Intermediate!$C$2:$R$208,5,FALSE)=G174, "", IF(G174="x","+", "-"))</f>
        <v/>
      </c>
      <c r="X174" s="1" t="str">
        <f>IF(VLOOKUP($C174,Intermediate!$C$2:$R$208,6,FALSE)=H174, "", IF(H174="x","+", "-"))</f>
        <v/>
      </c>
      <c r="Y174" s="1" t="str">
        <f>IF(VLOOKUP($C174,Intermediate!$C$2:$R$208,7,FALSE)=I174, "", IF(I174="x","+", "-"))</f>
        <v/>
      </c>
      <c r="Z174" s="1" t="str">
        <f>IF(VLOOKUP($C174,Intermediate!$C$2:$R$208,8,FALSE)=J174, "", IF(J174="x","+", "-"))</f>
        <v/>
      </c>
      <c r="AA174" s="1" t="str">
        <f>IF(VLOOKUP($C174,Intermediate!$C$2:$R$208,9,FALSE)=K174, "", IF(K174="x","+", "-"))</f>
        <v/>
      </c>
      <c r="AB174" s="1" t="str">
        <f>IF(VLOOKUP($C174,Intermediate!$C$2:$R$208,10,FALSE)=L174, "", IF(L174="x","+", "-"))</f>
        <v/>
      </c>
      <c r="AC174" s="1" t="str">
        <f>IF(VLOOKUP($C174,Intermediate!$C$2:$R$208,11,FALSE)=M174, "", IF(M174="x","+", "-"))</f>
        <v/>
      </c>
      <c r="AD174" s="1" t="str">
        <f>IF(VLOOKUP($C174,Intermediate!$C$2:$R$208,12,FALSE)=N174, "", IF(N174="x","+", "-"))</f>
        <v/>
      </c>
      <c r="AE174" s="1" t="str">
        <f>IF(VLOOKUP($C174,Intermediate!$C$2:$R$208,13,FALSE)=O174, "", IF(O174="x","+", "-"))</f>
        <v/>
      </c>
      <c r="AF174" s="1" t="str">
        <f>IF(VLOOKUP($C174,Intermediate!$C$2:$R$208,14,FALSE)=P174, "", IF(P174="x","+", "-"))</f>
        <v/>
      </c>
      <c r="AG174" s="1" t="str">
        <f>IF(VLOOKUP($C174,Intermediate!$C$2:$R$208,15,FALSE)=Q174, "", IF(Q174="x","+", "-"))</f>
        <v/>
      </c>
      <c r="AH174" s="1" t="str">
        <f>IF(VLOOKUP($C174,Intermediate!$C$2:$R$208,16,FALSE)=R174, "", IF(R174="x","+", "-"))</f>
        <v/>
      </c>
    </row>
    <row r="175" spans="1:34" ht="15" customHeight="1" x14ac:dyDescent="0.2">
      <c r="A175" s="7" t="s">
        <v>90</v>
      </c>
      <c r="B175" s="7" t="s">
        <v>27</v>
      </c>
      <c r="C175" s="9" t="str">
        <f t="shared" si="2"/>
        <v>UVA Software Engineering</v>
      </c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3"/>
      <c r="R175" s="10"/>
      <c r="S175" s="1"/>
      <c r="T175" s="1" t="str">
        <f>IF(VLOOKUP($C175,Intermediate!$C$2:$R$208,2,FALSE)=D175, "", IF(D175="x","+", "-"))</f>
        <v/>
      </c>
      <c r="U175" s="1" t="str">
        <f>IF(VLOOKUP($C175,Intermediate!$C$2:$R$208,3,FALSE)=E175, "", IF(E175="x","+", "-"))</f>
        <v/>
      </c>
      <c r="V175" s="1" t="str">
        <f>IF(VLOOKUP($C175,Intermediate!$C$2:$R$208,4,FALSE)=F175, "", IF(F175="x","+", "-"))</f>
        <v/>
      </c>
      <c r="W175" s="1" t="str">
        <f>IF(VLOOKUP($C175,Intermediate!$C$2:$R$208,5,FALSE)=G175, "", IF(G175="x","+", "-"))</f>
        <v/>
      </c>
      <c r="X175" s="1" t="str">
        <f>IF(VLOOKUP($C175,Intermediate!$C$2:$R$208,6,FALSE)=H175, "", IF(H175="x","+", "-"))</f>
        <v/>
      </c>
      <c r="Y175" s="1" t="str">
        <f>IF(VLOOKUP($C175,Intermediate!$C$2:$R$208,7,FALSE)=I175, "", IF(I175="x","+", "-"))</f>
        <v/>
      </c>
      <c r="Z175" s="1" t="str">
        <f>IF(VLOOKUP($C175,Intermediate!$C$2:$R$208,8,FALSE)=J175, "", IF(J175="x","+", "-"))</f>
        <v/>
      </c>
      <c r="AA175" s="1" t="str">
        <f>IF(VLOOKUP($C175,Intermediate!$C$2:$R$208,9,FALSE)=K175, "", IF(K175="x","+", "-"))</f>
        <v/>
      </c>
      <c r="AB175" s="1" t="str">
        <f>IF(VLOOKUP($C175,Intermediate!$C$2:$R$208,10,FALSE)=L175, "", IF(L175="x","+", "-"))</f>
        <v/>
      </c>
      <c r="AC175" s="1" t="str">
        <f>IF(VLOOKUP($C175,Intermediate!$C$2:$R$208,11,FALSE)=M175, "", IF(M175="x","+", "-"))</f>
        <v/>
      </c>
      <c r="AD175" s="1" t="str">
        <f>IF(VLOOKUP($C175,Intermediate!$C$2:$R$208,12,FALSE)=N175, "", IF(N175="x","+", "-"))</f>
        <v/>
      </c>
      <c r="AE175" s="1" t="str">
        <f>IF(VLOOKUP($C175,Intermediate!$C$2:$R$208,13,FALSE)=O175, "", IF(O175="x","+", "-"))</f>
        <v/>
      </c>
      <c r="AF175" s="1" t="str">
        <f>IF(VLOOKUP($C175,Intermediate!$C$2:$R$208,14,FALSE)=P175, "", IF(P175="x","+", "-"))</f>
        <v/>
      </c>
      <c r="AG175" s="1" t="str">
        <f>IF(VLOOKUP($C175,Intermediate!$C$2:$R$208,15,FALSE)=Q175, "", IF(Q175="x","+", "-"))</f>
        <v/>
      </c>
      <c r="AH175" s="1" t="str">
        <f>IF(VLOOKUP($C175,Intermediate!$C$2:$R$208,16,FALSE)=R175, "", IF(R175="x","+", "-"))</f>
        <v/>
      </c>
    </row>
    <row r="176" spans="1:34" ht="15" customHeight="1" x14ac:dyDescent="0.2">
      <c r="A176" s="7" t="s">
        <v>193</v>
      </c>
      <c r="B176" s="7" t="s">
        <v>27</v>
      </c>
      <c r="C176" s="9" t="str">
        <f t="shared" si="2"/>
        <v>UVA Theory of functional programming</v>
      </c>
      <c r="D176" s="10"/>
      <c r="E176" s="10"/>
      <c r="F176" s="10"/>
      <c r="G176" s="10" t="s">
        <v>19</v>
      </c>
      <c r="H176" s="10"/>
      <c r="I176" s="10"/>
      <c r="J176" s="10"/>
      <c r="K176" s="10"/>
      <c r="L176" s="10"/>
      <c r="M176" s="10"/>
      <c r="N176" s="10"/>
      <c r="O176" s="10"/>
      <c r="P176" s="10"/>
      <c r="Q176" s="11"/>
      <c r="R176" s="10" t="s">
        <v>19</v>
      </c>
      <c r="S176" s="1"/>
      <c r="T176" s="1" t="str">
        <f>IF(VLOOKUP($C176,Intermediate!$C$2:$R$208,2,FALSE)=D176, "", IF(D176="x","+", "-"))</f>
        <v/>
      </c>
      <c r="U176" s="1" t="str">
        <f>IF(VLOOKUP($C176,Intermediate!$C$2:$R$208,3,FALSE)=E176, "", IF(E176="x","+", "-"))</f>
        <v/>
      </c>
      <c r="V176" s="1" t="str">
        <f>IF(VLOOKUP($C176,Intermediate!$C$2:$R$208,4,FALSE)=F176, "", IF(F176="x","+", "-"))</f>
        <v/>
      </c>
      <c r="W176" s="1" t="str">
        <f>IF(VLOOKUP($C176,Intermediate!$C$2:$R$208,5,FALSE)=G176, "", IF(G176="x","+", "-"))</f>
        <v/>
      </c>
      <c r="X176" s="1" t="str">
        <f>IF(VLOOKUP($C176,Intermediate!$C$2:$R$208,6,FALSE)=H176, "", IF(H176="x","+", "-"))</f>
        <v/>
      </c>
      <c r="Y176" s="1" t="str">
        <f>IF(VLOOKUP($C176,Intermediate!$C$2:$R$208,7,FALSE)=I176, "", IF(I176="x","+", "-"))</f>
        <v/>
      </c>
      <c r="Z176" s="1" t="str">
        <f>IF(VLOOKUP($C176,Intermediate!$C$2:$R$208,8,FALSE)=J176, "", IF(J176="x","+", "-"))</f>
        <v/>
      </c>
      <c r="AA176" s="1" t="str">
        <f>IF(VLOOKUP($C176,Intermediate!$C$2:$R$208,9,FALSE)=K176, "", IF(K176="x","+", "-"))</f>
        <v/>
      </c>
      <c r="AB176" s="1" t="str">
        <f>IF(VLOOKUP($C176,Intermediate!$C$2:$R$208,10,FALSE)=L176, "", IF(L176="x","+", "-"))</f>
        <v/>
      </c>
      <c r="AC176" s="1" t="str">
        <f>IF(VLOOKUP($C176,Intermediate!$C$2:$R$208,11,FALSE)=M176, "", IF(M176="x","+", "-"))</f>
        <v/>
      </c>
      <c r="AD176" s="1" t="str">
        <f>IF(VLOOKUP($C176,Intermediate!$C$2:$R$208,12,FALSE)=N176, "", IF(N176="x","+", "-"))</f>
        <v/>
      </c>
      <c r="AE176" s="1" t="str">
        <f>IF(VLOOKUP($C176,Intermediate!$C$2:$R$208,13,FALSE)=O176, "", IF(O176="x","+", "-"))</f>
        <v/>
      </c>
      <c r="AF176" s="1" t="str">
        <f>IF(VLOOKUP($C176,Intermediate!$C$2:$R$208,14,FALSE)=P176, "", IF(P176="x","+", "-"))</f>
        <v/>
      </c>
      <c r="AG176" s="1" t="str">
        <f>IF(VLOOKUP($C176,Intermediate!$C$2:$R$208,15,FALSE)=Q176, "", IF(Q176="x","+", "-"))</f>
        <v/>
      </c>
      <c r="AH176" s="1" t="str">
        <f>IF(VLOOKUP($C176,Intermediate!$C$2:$R$208,16,FALSE)=R176, "", IF(R176="x","+", "-"))</f>
        <v/>
      </c>
    </row>
    <row r="177" spans="1:34" ht="15" customHeight="1" x14ac:dyDescent="0.2">
      <c r="A177" s="7" t="s">
        <v>128</v>
      </c>
      <c r="B177" s="7" t="s">
        <v>27</v>
      </c>
      <c r="C177" s="9" t="str">
        <f t="shared" si="2"/>
        <v>UVA Cryptographic Engineering</v>
      </c>
      <c r="D177" s="10"/>
      <c r="E177" s="10"/>
      <c r="F177" s="11"/>
      <c r="G177" s="10" t="s">
        <v>19</v>
      </c>
      <c r="H177" s="10" t="s">
        <v>19</v>
      </c>
      <c r="I177" s="10"/>
      <c r="J177" s="10"/>
      <c r="K177" s="10"/>
      <c r="L177" s="10"/>
      <c r="M177" s="10"/>
      <c r="N177" s="10"/>
      <c r="O177" s="10" t="s">
        <v>19</v>
      </c>
      <c r="P177" s="10"/>
      <c r="Q177" s="10"/>
      <c r="R177" s="10"/>
      <c r="S177" s="7"/>
      <c r="T177" s="1" t="str">
        <f>IF(VLOOKUP($C177,Intermediate!$C$2:$R$208,2,FALSE)=D177, "", IF(D177="x","+", "-"))</f>
        <v/>
      </c>
      <c r="U177" s="1" t="str">
        <f>IF(VLOOKUP($C177,Intermediate!$C$2:$R$208,3,FALSE)=E177, "", IF(E177="x","+", "-"))</f>
        <v/>
      </c>
      <c r="V177" s="1" t="str">
        <f>IF(VLOOKUP($C177,Intermediate!$C$2:$R$208,4,FALSE)=F177, "", IF(F177="x","+", "-"))</f>
        <v/>
      </c>
      <c r="W177" s="1" t="str">
        <f>IF(VLOOKUP($C177,Intermediate!$C$2:$R$208,5,FALSE)=G177, "", IF(G177="x","+", "-"))</f>
        <v/>
      </c>
      <c r="X177" s="1" t="str">
        <f>IF(VLOOKUP($C177,Intermediate!$C$2:$R$208,6,FALSE)=H177, "", IF(H177="x","+", "-"))</f>
        <v/>
      </c>
      <c r="Y177" s="1" t="str">
        <f>IF(VLOOKUP($C177,Intermediate!$C$2:$R$208,7,FALSE)=I177, "", IF(I177="x","+", "-"))</f>
        <v/>
      </c>
      <c r="Z177" s="1" t="str">
        <f>IF(VLOOKUP($C177,Intermediate!$C$2:$R$208,8,FALSE)=J177, "", IF(J177="x","+", "-"))</f>
        <v/>
      </c>
      <c r="AA177" s="1" t="str">
        <f>IF(VLOOKUP($C177,Intermediate!$C$2:$R$208,9,FALSE)=K177, "", IF(K177="x","+", "-"))</f>
        <v/>
      </c>
      <c r="AB177" s="1" t="str">
        <f>IF(VLOOKUP($C177,Intermediate!$C$2:$R$208,10,FALSE)=L177, "", IF(L177="x","+", "-"))</f>
        <v/>
      </c>
      <c r="AC177" s="1" t="str">
        <f>IF(VLOOKUP($C177,Intermediate!$C$2:$R$208,11,FALSE)=M177, "", IF(M177="x","+", "-"))</f>
        <v/>
      </c>
      <c r="AD177" s="1" t="str">
        <f>IF(VLOOKUP($C177,Intermediate!$C$2:$R$208,12,FALSE)=N177, "", IF(N177="x","+", "-"))</f>
        <v/>
      </c>
      <c r="AE177" s="1" t="str">
        <f>IF(VLOOKUP($C177,Intermediate!$C$2:$R$208,13,FALSE)=O177, "", IF(O177="x","+", "-"))</f>
        <v/>
      </c>
      <c r="AF177" s="1" t="str">
        <f>IF(VLOOKUP($C177,Intermediate!$C$2:$R$208,14,FALSE)=P177, "", IF(P177="x","+", "-"))</f>
        <v/>
      </c>
      <c r="AG177" s="1" t="str">
        <f>IF(VLOOKUP($C177,Intermediate!$C$2:$R$208,15,FALSE)=Q177, "", IF(Q177="x","+", "-"))</f>
        <v/>
      </c>
      <c r="AH177" s="1" t="str">
        <f>IF(VLOOKUP($C177,Intermediate!$C$2:$R$208,16,FALSE)=R177, "", IF(R177="x","+", "-"))</f>
        <v/>
      </c>
    </row>
    <row r="178" spans="1:34" ht="15" customHeight="1" x14ac:dyDescent="0.2">
      <c r="A178" s="7" t="s">
        <v>42</v>
      </c>
      <c r="B178" s="7" t="s">
        <v>27</v>
      </c>
      <c r="C178" s="9" t="str">
        <f t="shared" si="2"/>
        <v>UVA DevOps and Cloud-based Systems</v>
      </c>
      <c r="D178" s="10"/>
      <c r="E178" s="10"/>
      <c r="F178" s="13"/>
      <c r="G178" s="10"/>
      <c r="H178" s="13"/>
      <c r="I178" s="10" t="s">
        <v>19</v>
      </c>
      <c r="J178" s="10"/>
      <c r="K178" s="10" t="s">
        <v>19</v>
      </c>
      <c r="L178" s="10"/>
      <c r="M178" s="10" t="s">
        <v>19</v>
      </c>
      <c r="N178" s="10"/>
      <c r="O178" s="10"/>
      <c r="P178" s="10"/>
      <c r="Q178" s="10"/>
      <c r="R178" s="10"/>
      <c r="S178" s="1"/>
      <c r="T178" s="1" t="str">
        <f>IF(VLOOKUP($C178,Intermediate!$C$2:$R$208,2,FALSE)=D178, "", IF(D178="x","+", "-"))</f>
        <v/>
      </c>
      <c r="U178" s="1" t="str">
        <f>IF(VLOOKUP($C178,Intermediate!$C$2:$R$208,3,FALSE)=E178, "", IF(E178="x","+", "-"))</f>
        <v/>
      </c>
      <c r="V178" s="1" t="str">
        <f>IF(VLOOKUP($C178,Intermediate!$C$2:$R$208,4,FALSE)=F178, "", IF(F178="x","+", "-"))</f>
        <v/>
      </c>
      <c r="W178" s="1" t="str">
        <f>IF(VLOOKUP($C178,Intermediate!$C$2:$R$208,5,FALSE)=G178, "", IF(G178="x","+", "-"))</f>
        <v/>
      </c>
      <c r="X178" s="1" t="str">
        <f>IF(VLOOKUP($C178,Intermediate!$C$2:$R$208,6,FALSE)=H178, "", IF(H178="x","+", "-"))</f>
        <v/>
      </c>
      <c r="Y178" s="1" t="str">
        <f>IF(VLOOKUP($C178,Intermediate!$C$2:$R$208,7,FALSE)=I178, "", IF(I178="x","+", "-"))</f>
        <v/>
      </c>
      <c r="Z178" s="1" t="str">
        <f>IF(VLOOKUP($C178,Intermediate!$C$2:$R$208,8,FALSE)=J178, "", IF(J178="x","+", "-"))</f>
        <v/>
      </c>
      <c r="AA178" s="1" t="str">
        <f>IF(VLOOKUP($C178,Intermediate!$C$2:$R$208,9,FALSE)=K178, "", IF(K178="x","+", "-"))</f>
        <v/>
      </c>
      <c r="AB178" s="1" t="str">
        <f>IF(VLOOKUP($C178,Intermediate!$C$2:$R$208,10,FALSE)=L178, "", IF(L178="x","+", "-"))</f>
        <v/>
      </c>
      <c r="AC178" s="1" t="str">
        <f>IF(VLOOKUP($C178,Intermediate!$C$2:$R$208,11,FALSE)=M178, "", IF(M178="x","+", "-"))</f>
        <v/>
      </c>
      <c r="AD178" s="1" t="str">
        <f>IF(VLOOKUP($C178,Intermediate!$C$2:$R$208,12,FALSE)=N178, "", IF(N178="x","+", "-"))</f>
        <v/>
      </c>
      <c r="AE178" s="1" t="str">
        <f>IF(VLOOKUP($C178,Intermediate!$C$2:$R$208,13,FALSE)=O178, "", IF(O178="x","+", "-"))</f>
        <v/>
      </c>
      <c r="AF178" s="1" t="str">
        <f>IF(VLOOKUP($C178,Intermediate!$C$2:$R$208,14,FALSE)=P178, "", IF(P178="x","+", "-"))</f>
        <v/>
      </c>
      <c r="AG178" s="1" t="str">
        <f>IF(VLOOKUP($C178,Intermediate!$C$2:$R$208,15,FALSE)=Q178, "", IF(Q178="x","+", "-"))</f>
        <v/>
      </c>
      <c r="AH178" s="1" t="str">
        <f>IF(VLOOKUP($C178,Intermediate!$C$2:$R$208,16,FALSE)=R178, "", IF(R178="x","+", "-"))</f>
        <v/>
      </c>
    </row>
    <row r="179" spans="1:34" ht="15" customHeight="1" x14ac:dyDescent="0.2">
      <c r="A179" s="7" t="s">
        <v>86</v>
      </c>
      <c r="B179" s="7" t="s">
        <v>27</v>
      </c>
      <c r="C179" s="9" t="str">
        <f t="shared" si="2"/>
        <v>UVA Functional Programming</v>
      </c>
      <c r="D179" s="10"/>
      <c r="E179" s="10"/>
      <c r="F179" s="11"/>
      <c r="G179" s="10" t="s">
        <v>19</v>
      </c>
      <c r="H179" s="11"/>
      <c r="I179" s="10"/>
      <c r="J179" s="10"/>
      <c r="K179" s="10"/>
      <c r="L179" s="10"/>
      <c r="M179" s="10"/>
      <c r="N179" s="13"/>
      <c r="O179" s="10"/>
      <c r="P179" s="10"/>
      <c r="Q179" s="13" t="s">
        <v>19</v>
      </c>
      <c r="R179" s="10"/>
      <c r="S179" s="1"/>
      <c r="T179" s="1" t="str">
        <f>IF(VLOOKUP($C179,Intermediate!$C$2:$R$208,2,FALSE)=D179, "", IF(D179="x","+", "-"))</f>
        <v/>
      </c>
      <c r="U179" s="1" t="str">
        <f>IF(VLOOKUP($C179,Intermediate!$C$2:$R$208,3,FALSE)=E179, "", IF(E179="x","+", "-"))</f>
        <v/>
      </c>
      <c r="V179" s="1" t="str">
        <f>IF(VLOOKUP($C179,Intermediate!$C$2:$R$208,4,FALSE)=F179, "", IF(F179="x","+", "-"))</f>
        <v/>
      </c>
      <c r="W179" s="1" t="str">
        <f>IF(VLOOKUP($C179,Intermediate!$C$2:$R$208,5,FALSE)=G179, "", IF(G179="x","+", "-"))</f>
        <v/>
      </c>
      <c r="X179" s="1" t="str">
        <f>IF(VLOOKUP($C179,Intermediate!$C$2:$R$208,6,FALSE)=H179, "", IF(H179="x","+", "-"))</f>
        <v/>
      </c>
      <c r="Y179" s="1" t="str">
        <f>IF(VLOOKUP($C179,Intermediate!$C$2:$R$208,7,FALSE)=I179, "", IF(I179="x","+", "-"))</f>
        <v/>
      </c>
      <c r="Z179" s="1" t="str">
        <f>IF(VLOOKUP($C179,Intermediate!$C$2:$R$208,8,FALSE)=J179, "", IF(J179="x","+", "-"))</f>
        <v/>
      </c>
      <c r="AA179" s="1" t="str">
        <f>IF(VLOOKUP($C179,Intermediate!$C$2:$R$208,9,FALSE)=K179, "", IF(K179="x","+", "-"))</f>
        <v/>
      </c>
      <c r="AB179" s="1" t="str">
        <f>IF(VLOOKUP($C179,Intermediate!$C$2:$R$208,10,FALSE)=L179, "", IF(L179="x","+", "-"))</f>
        <v/>
      </c>
      <c r="AC179" s="1" t="str">
        <f>IF(VLOOKUP($C179,Intermediate!$C$2:$R$208,11,FALSE)=M179, "", IF(M179="x","+", "-"))</f>
        <v/>
      </c>
      <c r="AD179" s="1" t="str">
        <f>IF(VLOOKUP($C179,Intermediate!$C$2:$R$208,12,FALSE)=N179, "", IF(N179="x","+", "-"))</f>
        <v/>
      </c>
      <c r="AE179" s="1" t="str">
        <f>IF(VLOOKUP($C179,Intermediate!$C$2:$R$208,13,FALSE)=O179, "", IF(O179="x","+", "-"))</f>
        <v/>
      </c>
      <c r="AF179" s="1" t="str">
        <f>IF(VLOOKUP($C179,Intermediate!$C$2:$R$208,14,FALSE)=P179, "", IF(P179="x","+", "-"))</f>
        <v/>
      </c>
      <c r="AG179" s="1" t="str">
        <f>IF(VLOOKUP($C179,Intermediate!$C$2:$R$208,15,FALSE)=Q179, "", IF(Q179="x","+", "-"))</f>
        <v/>
      </c>
      <c r="AH179" s="1" t="str">
        <f>IF(VLOOKUP($C179,Intermediate!$C$2:$R$208,16,FALSE)=R179, "", IF(R179="x","+", "-"))</f>
        <v/>
      </c>
    </row>
    <row r="180" spans="1:34" ht="15" customHeight="1" x14ac:dyDescent="0.2">
      <c r="A180" s="7" t="s">
        <v>194</v>
      </c>
      <c r="B180" s="7" t="s">
        <v>27</v>
      </c>
      <c r="C180" s="9" t="str">
        <f t="shared" si="2"/>
        <v>UVA Model-based Design of Cyber-physical Systems</v>
      </c>
      <c r="D180" s="10"/>
      <c r="E180" s="10"/>
      <c r="F180" s="10" t="s">
        <v>19</v>
      </c>
      <c r="G180" s="10"/>
      <c r="H180" s="10"/>
      <c r="I180" s="10"/>
      <c r="J180" s="10"/>
      <c r="K180" s="10"/>
      <c r="L180" s="10"/>
      <c r="M180" s="10"/>
      <c r="N180" s="14" t="s">
        <v>19</v>
      </c>
      <c r="O180" s="10"/>
      <c r="P180" s="10"/>
      <c r="Q180" s="11"/>
      <c r="R180" s="10"/>
      <c r="S180" s="1"/>
      <c r="T180" s="1" t="str">
        <f>IF(VLOOKUP($C180,Intermediate!$C$2:$R$208,2,FALSE)=D180, "", IF(D180="x","+", "-"))</f>
        <v/>
      </c>
      <c r="U180" s="1" t="str">
        <f>IF(VLOOKUP($C180,Intermediate!$C$2:$R$208,3,FALSE)=E180, "", IF(E180="x","+", "-"))</f>
        <v/>
      </c>
      <c r="V180" s="1" t="str">
        <f>IF(VLOOKUP($C180,Intermediate!$C$2:$R$208,4,FALSE)=F180, "", IF(F180="x","+", "-"))</f>
        <v/>
      </c>
      <c r="W180" s="1" t="str">
        <f>IF(VLOOKUP($C180,Intermediate!$C$2:$R$208,5,FALSE)=G180, "", IF(G180="x","+", "-"))</f>
        <v/>
      </c>
      <c r="X180" s="1" t="str">
        <f>IF(VLOOKUP($C180,Intermediate!$C$2:$R$208,6,FALSE)=H180, "", IF(H180="x","+", "-"))</f>
        <v/>
      </c>
      <c r="Y180" s="1" t="str">
        <f>IF(VLOOKUP($C180,Intermediate!$C$2:$R$208,7,FALSE)=I180, "", IF(I180="x","+", "-"))</f>
        <v/>
      </c>
      <c r="Z180" s="1" t="str">
        <f>IF(VLOOKUP($C180,Intermediate!$C$2:$R$208,8,FALSE)=J180, "", IF(J180="x","+", "-"))</f>
        <v/>
      </c>
      <c r="AA180" s="1" t="str">
        <f>IF(VLOOKUP($C180,Intermediate!$C$2:$R$208,9,FALSE)=K180, "", IF(K180="x","+", "-"))</f>
        <v/>
      </c>
      <c r="AB180" s="1" t="str">
        <f>IF(VLOOKUP($C180,Intermediate!$C$2:$R$208,10,FALSE)=L180, "", IF(L180="x","+", "-"))</f>
        <v/>
      </c>
      <c r="AC180" s="1" t="str">
        <f>IF(VLOOKUP($C180,Intermediate!$C$2:$R$208,11,FALSE)=M180, "", IF(M180="x","+", "-"))</f>
        <v/>
      </c>
      <c r="AD180" s="1" t="str">
        <f>IF(VLOOKUP($C180,Intermediate!$C$2:$R$208,12,FALSE)=N180, "", IF(N180="x","+", "-"))</f>
        <v/>
      </c>
      <c r="AE180" s="1" t="str">
        <f>IF(VLOOKUP($C180,Intermediate!$C$2:$R$208,13,FALSE)=O180, "", IF(O180="x","+", "-"))</f>
        <v/>
      </c>
      <c r="AF180" s="1" t="str">
        <f>IF(VLOOKUP($C180,Intermediate!$C$2:$R$208,14,FALSE)=P180, "", IF(P180="x","+", "-"))</f>
        <v/>
      </c>
      <c r="AG180" s="1" t="str">
        <f>IF(VLOOKUP($C180,Intermediate!$C$2:$R$208,15,FALSE)=Q180, "", IF(Q180="x","+", "-"))</f>
        <v/>
      </c>
      <c r="AH180" s="1" t="str">
        <f>IF(VLOOKUP($C180,Intermediate!$C$2:$R$208,16,FALSE)=R180, "", IF(R180="x","+", "-"))</f>
        <v/>
      </c>
    </row>
    <row r="181" spans="1:34" ht="15" customHeight="1" x14ac:dyDescent="0.2">
      <c r="A181" s="7" t="s">
        <v>35</v>
      </c>
      <c r="B181" s="7" t="s">
        <v>27</v>
      </c>
      <c r="C181" s="9" t="str">
        <f t="shared" si="2"/>
        <v>UVA Requirements Engineering</v>
      </c>
      <c r="D181" s="10" t="s">
        <v>19</v>
      </c>
      <c r="E181" s="10"/>
      <c r="F181" s="10"/>
      <c r="G181" s="10"/>
      <c r="H181" s="10"/>
      <c r="I181" s="10"/>
      <c r="J181" s="10"/>
      <c r="K181" s="10"/>
      <c r="L181" s="10"/>
      <c r="M181" s="10" t="s">
        <v>19</v>
      </c>
      <c r="N181" s="11" t="s">
        <v>19</v>
      </c>
      <c r="O181" s="10"/>
      <c r="P181" s="10"/>
      <c r="Q181" s="10"/>
      <c r="R181" s="10"/>
      <c r="S181" s="7"/>
      <c r="T181" s="1" t="str">
        <f>IF(VLOOKUP($C181,Intermediate!$C$2:$R$208,2,FALSE)=D181, "", IF(D181="x","+", "-"))</f>
        <v/>
      </c>
      <c r="U181" s="1" t="str">
        <f>IF(VLOOKUP($C181,Intermediate!$C$2:$R$208,3,FALSE)=E181, "", IF(E181="x","+", "-"))</f>
        <v/>
      </c>
      <c r="V181" s="1" t="str">
        <f>IF(VLOOKUP($C181,Intermediate!$C$2:$R$208,4,FALSE)=F181, "", IF(F181="x","+", "-"))</f>
        <v/>
      </c>
      <c r="W181" s="1" t="str">
        <f>IF(VLOOKUP($C181,Intermediate!$C$2:$R$208,5,FALSE)=G181, "", IF(G181="x","+", "-"))</f>
        <v/>
      </c>
      <c r="X181" s="1" t="str">
        <f>IF(VLOOKUP($C181,Intermediate!$C$2:$R$208,6,FALSE)=H181, "", IF(H181="x","+", "-"))</f>
        <v/>
      </c>
      <c r="Y181" s="1" t="str">
        <f>IF(VLOOKUP($C181,Intermediate!$C$2:$R$208,7,FALSE)=I181, "", IF(I181="x","+", "-"))</f>
        <v/>
      </c>
      <c r="Z181" s="1" t="str">
        <f>IF(VLOOKUP($C181,Intermediate!$C$2:$R$208,8,FALSE)=J181, "", IF(J181="x","+", "-"))</f>
        <v/>
      </c>
      <c r="AA181" s="1" t="str">
        <f>IF(VLOOKUP($C181,Intermediate!$C$2:$R$208,9,FALSE)=K181, "", IF(K181="x","+", "-"))</f>
        <v/>
      </c>
      <c r="AB181" s="1" t="str">
        <f>IF(VLOOKUP($C181,Intermediate!$C$2:$R$208,10,FALSE)=L181, "", IF(L181="x","+", "-"))</f>
        <v/>
      </c>
      <c r="AC181" s="1" t="str">
        <f>IF(VLOOKUP($C181,Intermediate!$C$2:$R$208,11,FALSE)=M181, "", IF(M181="x","+", "-"))</f>
        <v/>
      </c>
      <c r="AD181" s="1" t="str">
        <f>IF(VLOOKUP($C181,Intermediate!$C$2:$R$208,12,FALSE)=N181, "", IF(N181="x","+", "-"))</f>
        <v/>
      </c>
      <c r="AE181" s="1" t="str">
        <f>IF(VLOOKUP($C181,Intermediate!$C$2:$R$208,13,FALSE)=O181, "", IF(O181="x","+", "-"))</f>
        <v/>
      </c>
      <c r="AF181" s="1" t="str">
        <f>IF(VLOOKUP($C181,Intermediate!$C$2:$R$208,14,FALSE)=P181, "", IF(P181="x","+", "-"))</f>
        <v/>
      </c>
      <c r="AG181" s="1" t="str">
        <f>IF(VLOOKUP($C181,Intermediate!$C$2:$R$208,15,FALSE)=Q181, "", IF(Q181="x","+", "-"))</f>
        <v/>
      </c>
      <c r="AH181" s="1" t="str">
        <f>IF(VLOOKUP($C181,Intermediate!$C$2:$R$208,16,FALSE)=R181, "", IF(R181="x","+", "-"))</f>
        <v/>
      </c>
    </row>
    <row r="182" spans="1:34" ht="15" customHeight="1" x14ac:dyDescent="0.2">
      <c r="A182" s="7" t="s">
        <v>70</v>
      </c>
      <c r="B182" s="7" t="s">
        <v>27</v>
      </c>
      <c r="C182" s="9" t="str">
        <f t="shared" si="2"/>
        <v>UVA Software Evolution</v>
      </c>
      <c r="D182" s="10"/>
      <c r="E182" s="13"/>
      <c r="F182" s="10"/>
      <c r="G182" s="10"/>
      <c r="H182" s="10"/>
      <c r="I182" s="13"/>
      <c r="J182" s="13" t="s">
        <v>19</v>
      </c>
      <c r="K182" s="10"/>
      <c r="L182" s="13"/>
      <c r="M182" s="10"/>
      <c r="N182" s="10"/>
      <c r="O182" s="10"/>
      <c r="P182" s="10"/>
      <c r="Q182" s="10"/>
      <c r="R182" s="10"/>
      <c r="S182" s="1"/>
      <c r="T182" s="1" t="str">
        <f>IF(VLOOKUP($C182,Intermediate!$C$2:$R$208,2,FALSE)=D182, "", IF(D182="x","+", "-"))</f>
        <v/>
      </c>
      <c r="U182" s="1" t="str">
        <f>IF(VLOOKUP($C182,Intermediate!$C$2:$R$208,3,FALSE)=E182, "", IF(E182="x","+", "-"))</f>
        <v/>
      </c>
      <c r="V182" s="1" t="str">
        <f>IF(VLOOKUP($C182,Intermediate!$C$2:$R$208,4,FALSE)=F182, "", IF(F182="x","+", "-"))</f>
        <v/>
      </c>
      <c r="W182" s="1" t="str">
        <f>IF(VLOOKUP($C182,Intermediate!$C$2:$R$208,5,FALSE)=G182, "", IF(G182="x","+", "-"))</f>
        <v/>
      </c>
      <c r="X182" s="1" t="str">
        <f>IF(VLOOKUP($C182,Intermediate!$C$2:$R$208,6,FALSE)=H182, "", IF(H182="x","+", "-"))</f>
        <v/>
      </c>
      <c r="Y182" s="1" t="str">
        <f>IF(VLOOKUP($C182,Intermediate!$C$2:$R$208,7,FALSE)=I182, "", IF(I182="x","+", "-"))</f>
        <v/>
      </c>
      <c r="Z182" s="1" t="str">
        <f>IF(VLOOKUP($C182,Intermediate!$C$2:$R$208,8,FALSE)=J182, "", IF(J182="x","+", "-"))</f>
        <v/>
      </c>
      <c r="AA182" s="1" t="str">
        <f>IF(VLOOKUP($C182,Intermediate!$C$2:$R$208,9,FALSE)=K182, "", IF(K182="x","+", "-"))</f>
        <v/>
      </c>
      <c r="AB182" s="1" t="str">
        <f>IF(VLOOKUP($C182,Intermediate!$C$2:$R$208,10,FALSE)=L182, "", IF(L182="x","+", "-"))</f>
        <v/>
      </c>
      <c r="AC182" s="1" t="str">
        <f>IF(VLOOKUP($C182,Intermediate!$C$2:$R$208,11,FALSE)=M182, "", IF(M182="x","+", "-"))</f>
        <v/>
      </c>
      <c r="AD182" s="1" t="str">
        <f>IF(VLOOKUP($C182,Intermediate!$C$2:$R$208,12,FALSE)=N182, "", IF(N182="x","+", "-"))</f>
        <v/>
      </c>
      <c r="AE182" s="1" t="str">
        <f>IF(VLOOKUP($C182,Intermediate!$C$2:$R$208,13,FALSE)=O182, "", IF(O182="x","+", "-"))</f>
        <v/>
      </c>
      <c r="AF182" s="1" t="str">
        <f>IF(VLOOKUP($C182,Intermediate!$C$2:$R$208,14,FALSE)=P182, "", IF(P182="x","+", "-"))</f>
        <v/>
      </c>
      <c r="AG182" s="1" t="str">
        <f>IF(VLOOKUP($C182,Intermediate!$C$2:$R$208,15,FALSE)=Q182, "", IF(Q182="x","+", "-"))</f>
        <v/>
      </c>
      <c r="AH182" s="1" t="str">
        <f>IF(VLOOKUP($C182,Intermediate!$C$2:$R$208,16,FALSE)=R182, "", IF(R182="x","+", "-"))</f>
        <v/>
      </c>
    </row>
    <row r="183" spans="1:34" ht="15" customHeight="1" x14ac:dyDescent="0.2">
      <c r="A183" s="7" t="s">
        <v>26</v>
      </c>
      <c r="B183" s="7" t="s">
        <v>27</v>
      </c>
      <c r="C183" s="9" t="str">
        <f t="shared" si="2"/>
        <v>UVA Software Process</v>
      </c>
      <c r="D183" s="10"/>
      <c r="E183" s="11"/>
      <c r="F183" s="10"/>
      <c r="G183" s="10"/>
      <c r="H183" s="10"/>
      <c r="I183" s="11" t="s">
        <v>19</v>
      </c>
      <c r="J183" s="11" t="s">
        <v>19</v>
      </c>
      <c r="K183" s="10"/>
      <c r="L183" s="11" t="s">
        <v>19</v>
      </c>
      <c r="M183" s="10" t="s">
        <v>19</v>
      </c>
      <c r="N183" s="10"/>
      <c r="O183" s="10"/>
      <c r="P183" s="10"/>
      <c r="Q183" s="10"/>
      <c r="R183" s="10"/>
      <c r="S183" s="1"/>
      <c r="T183" s="1" t="str">
        <f>IF(VLOOKUP($C183,Intermediate!$C$2:$R$208,2,FALSE)=D183, "", IF(D183="x","+", "-"))</f>
        <v/>
      </c>
      <c r="U183" s="1" t="str">
        <f>IF(VLOOKUP($C183,Intermediate!$C$2:$R$208,3,FALSE)=E183, "", IF(E183="x","+", "-"))</f>
        <v/>
      </c>
      <c r="V183" s="1" t="str">
        <f>IF(VLOOKUP($C183,Intermediate!$C$2:$R$208,4,FALSE)=F183, "", IF(F183="x","+", "-"))</f>
        <v/>
      </c>
      <c r="W183" s="1" t="str">
        <f>IF(VLOOKUP($C183,Intermediate!$C$2:$R$208,5,FALSE)=G183, "", IF(G183="x","+", "-"))</f>
        <v/>
      </c>
      <c r="X183" s="1" t="str">
        <f>IF(VLOOKUP($C183,Intermediate!$C$2:$R$208,6,FALSE)=H183, "", IF(H183="x","+", "-"))</f>
        <v/>
      </c>
      <c r="Y183" s="1" t="str">
        <f>IF(VLOOKUP($C183,Intermediate!$C$2:$R$208,7,FALSE)=I183, "", IF(I183="x","+", "-"))</f>
        <v/>
      </c>
      <c r="Z183" s="1" t="str">
        <f>IF(VLOOKUP($C183,Intermediate!$C$2:$R$208,8,FALSE)=J183, "", IF(J183="x","+", "-"))</f>
        <v/>
      </c>
      <c r="AA183" s="1" t="str">
        <f>IF(VLOOKUP($C183,Intermediate!$C$2:$R$208,9,FALSE)=K183, "", IF(K183="x","+", "-"))</f>
        <v/>
      </c>
      <c r="AB183" s="1" t="str">
        <f>IF(VLOOKUP($C183,Intermediate!$C$2:$R$208,10,FALSE)=L183, "", IF(L183="x","+", "-"))</f>
        <v/>
      </c>
      <c r="AC183" s="1" t="str">
        <f>IF(VLOOKUP($C183,Intermediate!$C$2:$R$208,11,FALSE)=M183, "", IF(M183="x","+", "-"))</f>
        <v/>
      </c>
      <c r="AD183" s="1" t="str">
        <f>IF(VLOOKUP($C183,Intermediate!$C$2:$R$208,12,FALSE)=N183, "", IF(N183="x","+", "-"))</f>
        <v/>
      </c>
      <c r="AE183" s="1" t="str">
        <f>IF(VLOOKUP($C183,Intermediate!$C$2:$R$208,13,FALSE)=O183, "", IF(O183="x","+", "-"))</f>
        <v/>
      </c>
      <c r="AF183" s="1" t="str">
        <f>IF(VLOOKUP($C183,Intermediate!$C$2:$R$208,14,FALSE)=P183, "", IF(P183="x","+", "-"))</f>
        <v/>
      </c>
      <c r="AG183" s="1" t="str">
        <f>IF(VLOOKUP($C183,Intermediate!$C$2:$R$208,15,FALSE)=Q183, "", IF(Q183="x","+", "-"))</f>
        <v/>
      </c>
      <c r="AH183" s="1" t="str">
        <f>IF(VLOOKUP($C183,Intermediate!$C$2:$R$208,16,FALSE)=R183, "", IF(R183="x","+", "-"))</f>
        <v/>
      </c>
    </row>
    <row r="184" spans="1:34" ht="15" customHeight="1" x14ac:dyDescent="0.2">
      <c r="A184" s="7" t="s">
        <v>85</v>
      </c>
      <c r="B184" s="7" t="s">
        <v>27</v>
      </c>
      <c r="C184" s="9" t="str">
        <f t="shared" si="2"/>
        <v>UVA Software Specification Verification and Testing</v>
      </c>
      <c r="D184" s="10"/>
      <c r="E184" s="10"/>
      <c r="F184" s="10"/>
      <c r="G184" s="13"/>
      <c r="H184" s="10" t="s">
        <v>19</v>
      </c>
      <c r="I184" s="10"/>
      <c r="J184" s="10"/>
      <c r="K184" s="10"/>
      <c r="L184" s="10"/>
      <c r="M184" s="10"/>
      <c r="N184" s="10"/>
      <c r="O184" s="10"/>
      <c r="P184" s="10"/>
      <c r="Q184" s="10" t="s">
        <v>19</v>
      </c>
      <c r="R184" s="10"/>
      <c r="S184" s="1"/>
      <c r="T184" s="1" t="str">
        <f>IF(VLOOKUP($C184,Intermediate!$C$2:$R$208,2,FALSE)=D184, "", IF(D184="x","+", "-"))</f>
        <v/>
      </c>
      <c r="U184" s="1" t="str">
        <f>IF(VLOOKUP($C184,Intermediate!$C$2:$R$208,3,FALSE)=E184, "", IF(E184="x","+", "-"))</f>
        <v/>
      </c>
      <c r="V184" s="1" t="str">
        <f>IF(VLOOKUP($C184,Intermediate!$C$2:$R$208,4,FALSE)=F184, "", IF(F184="x","+", "-"))</f>
        <v/>
      </c>
      <c r="W184" s="1" t="str">
        <f>IF(VLOOKUP($C184,Intermediate!$C$2:$R$208,5,FALSE)=G184, "", IF(G184="x","+", "-"))</f>
        <v/>
      </c>
      <c r="X184" s="1" t="str">
        <f>IF(VLOOKUP($C184,Intermediate!$C$2:$R$208,6,FALSE)=H184, "", IF(H184="x","+", "-"))</f>
        <v/>
      </c>
      <c r="Y184" s="1" t="str">
        <f>IF(VLOOKUP($C184,Intermediate!$C$2:$R$208,7,FALSE)=I184, "", IF(I184="x","+", "-"))</f>
        <v/>
      </c>
      <c r="Z184" s="1" t="str">
        <f>IF(VLOOKUP($C184,Intermediate!$C$2:$R$208,8,FALSE)=J184, "", IF(J184="x","+", "-"))</f>
        <v/>
      </c>
      <c r="AA184" s="1" t="str">
        <f>IF(VLOOKUP($C184,Intermediate!$C$2:$R$208,9,FALSE)=K184, "", IF(K184="x","+", "-"))</f>
        <v/>
      </c>
      <c r="AB184" s="1" t="str">
        <f>IF(VLOOKUP($C184,Intermediate!$C$2:$R$208,10,FALSE)=L184, "", IF(L184="x","+", "-"))</f>
        <v/>
      </c>
      <c r="AC184" s="1" t="str">
        <f>IF(VLOOKUP($C184,Intermediate!$C$2:$R$208,11,FALSE)=M184, "", IF(M184="x","+", "-"))</f>
        <v/>
      </c>
      <c r="AD184" s="1" t="str">
        <f>IF(VLOOKUP($C184,Intermediate!$C$2:$R$208,12,FALSE)=N184, "", IF(N184="x","+", "-"))</f>
        <v/>
      </c>
      <c r="AE184" s="1" t="str">
        <f>IF(VLOOKUP($C184,Intermediate!$C$2:$R$208,13,FALSE)=O184, "", IF(O184="x","+", "-"))</f>
        <v/>
      </c>
      <c r="AF184" s="1" t="str">
        <f>IF(VLOOKUP($C184,Intermediate!$C$2:$R$208,14,FALSE)=P184, "", IF(P184="x","+", "-"))</f>
        <v/>
      </c>
      <c r="AG184" s="1" t="str">
        <f>IF(VLOOKUP($C184,Intermediate!$C$2:$R$208,15,FALSE)=Q184, "", IF(Q184="x","+", "-"))</f>
        <v/>
      </c>
      <c r="AH184" s="1" t="str">
        <f>IF(VLOOKUP($C184,Intermediate!$C$2:$R$208,16,FALSE)=R184, "", IF(R184="x","+", "-"))</f>
        <v/>
      </c>
    </row>
    <row r="185" spans="1:34" ht="15" customHeight="1" x14ac:dyDescent="0.2">
      <c r="A185" s="7" t="s">
        <v>101</v>
      </c>
      <c r="B185" s="7" t="s">
        <v>36</v>
      </c>
      <c r="C185" s="9" t="str">
        <f t="shared" si="2"/>
        <v>VU Compiler Construction</v>
      </c>
      <c r="D185" s="10"/>
      <c r="E185" s="10"/>
      <c r="F185" s="10"/>
      <c r="G185" s="11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 t="s">
        <v>19</v>
      </c>
      <c r="S185" s="1"/>
      <c r="T185" s="1" t="str">
        <f>IF(VLOOKUP($C185,Intermediate!$C$2:$R$208,2,FALSE)=D185, "", IF(D185="x","+", "-"))</f>
        <v/>
      </c>
      <c r="U185" s="1" t="str">
        <f>IF(VLOOKUP($C185,Intermediate!$C$2:$R$208,3,FALSE)=E185, "", IF(E185="x","+", "-"))</f>
        <v/>
      </c>
      <c r="V185" s="1" t="str">
        <f>IF(VLOOKUP($C185,Intermediate!$C$2:$R$208,4,FALSE)=F185, "", IF(F185="x","+", "-"))</f>
        <v/>
      </c>
      <c r="W185" s="1" t="str">
        <f>IF(VLOOKUP($C185,Intermediate!$C$2:$R$208,5,FALSE)=G185, "", IF(G185="x","+", "-"))</f>
        <v/>
      </c>
      <c r="X185" s="1" t="str">
        <f>IF(VLOOKUP($C185,Intermediate!$C$2:$R$208,6,FALSE)=H185, "", IF(H185="x","+", "-"))</f>
        <v/>
      </c>
      <c r="Y185" s="1" t="str">
        <f>IF(VLOOKUP($C185,Intermediate!$C$2:$R$208,7,FALSE)=I185, "", IF(I185="x","+", "-"))</f>
        <v/>
      </c>
      <c r="Z185" s="1" t="str">
        <f>IF(VLOOKUP($C185,Intermediate!$C$2:$R$208,8,FALSE)=J185, "", IF(J185="x","+", "-"))</f>
        <v/>
      </c>
      <c r="AA185" s="1" t="str">
        <f>IF(VLOOKUP($C185,Intermediate!$C$2:$R$208,9,FALSE)=K185, "", IF(K185="x","+", "-"))</f>
        <v/>
      </c>
      <c r="AB185" s="1" t="str">
        <f>IF(VLOOKUP($C185,Intermediate!$C$2:$R$208,10,FALSE)=L185, "", IF(L185="x","+", "-"))</f>
        <v/>
      </c>
      <c r="AC185" s="1" t="str">
        <f>IF(VLOOKUP($C185,Intermediate!$C$2:$R$208,11,FALSE)=M185, "", IF(M185="x","+", "-"))</f>
        <v/>
      </c>
      <c r="AD185" s="1" t="str">
        <f>IF(VLOOKUP($C185,Intermediate!$C$2:$R$208,12,FALSE)=N185, "", IF(N185="x","+", "-"))</f>
        <v/>
      </c>
      <c r="AE185" s="1" t="str">
        <f>IF(VLOOKUP($C185,Intermediate!$C$2:$R$208,13,FALSE)=O185, "", IF(O185="x","+", "-"))</f>
        <v/>
      </c>
      <c r="AF185" s="1" t="str">
        <f>IF(VLOOKUP($C185,Intermediate!$C$2:$R$208,14,FALSE)=P185, "", IF(P185="x","+", "-"))</f>
        <v/>
      </c>
      <c r="AG185" s="1" t="str">
        <f>IF(VLOOKUP($C185,Intermediate!$C$2:$R$208,15,FALSE)=Q185, "", IF(Q185="x","+", "-"))</f>
        <v/>
      </c>
      <c r="AH185" s="1" t="str">
        <f>IF(VLOOKUP($C185,Intermediate!$C$2:$R$208,16,FALSE)=R185, "", IF(R185="x","+", "-"))</f>
        <v/>
      </c>
    </row>
    <row r="186" spans="1:34" ht="15" customHeight="1" x14ac:dyDescent="0.2">
      <c r="A186" s="7" t="s">
        <v>196</v>
      </c>
      <c r="B186" s="7" t="s">
        <v>36</v>
      </c>
      <c r="C186" s="9" t="str">
        <f t="shared" si="2"/>
        <v>VU Computational Thinking for Coders</v>
      </c>
      <c r="D186" s="10"/>
      <c r="E186" s="10"/>
      <c r="F186" s="10"/>
      <c r="G186" s="10" t="s">
        <v>19</v>
      </c>
      <c r="H186" s="10"/>
      <c r="I186" s="10"/>
      <c r="J186" s="10"/>
      <c r="K186" s="13"/>
      <c r="L186" s="10"/>
      <c r="M186" s="10"/>
      <c r="N186" s="10"/>
      <c r="O186" s="10"/>
      <c r="P186" s="10"/>
      <c r="Q186" s="10"/>
      <c r="R186" s="10"/>
      <c r="S186" s="1"/>
      <c r="T186" s="1" t="str">
        <f>IF(VLOOKUP($C186,Intermediate!$C$2:$R$208,2,FALSE)=D186, "", IF(D186="x","+", "-"))</f>
        <v/>
      </c>
      <c r="U186" s="1" t="str">
        <f>IF(VLOOKUP($C186,Intermediate!$C$2:$R$208,3,FALSE)=E186, "", IF(E186="x","+", "-"))</f>
        <v/>
      </c>
      <c r="V186" s="1" t="str">
        <f>IF(VLOOKUP($C186,Intermediate!$C$2:$R$208,4,FALSE)=F186, "", IF(F186="x","+", "-"))</f>
        <v/>
      </c>
      <c r="W186" s="1" t="str">
        <f>IF(VLOOKUP($C186,Intermediate!$C$2:$R$208,5,FALSE)=G186, "", IF(G186="x","+", "-"))</f>
        <v/>
      </c>
      <c r="X186" s="1" t="str">
        <f>IF(VLOOKUP($C186,Intermediate!$C$2:$R$208,6,FALSE)=H186, "", IF(H186="x","+", "-"))</f>
        <v/>
      </c>
      <c r="Y186" s="1" t="str">
        <f>IF(VLOOKUP($C186,Intermediate!$C$2:$R$208,7,FALSE)=I186, "", IF(I186="x","+", "-"))</f>
        <v/>
      </c>
      <c r="Z186" s="1" t="str">
        <f>IF(VLOOKUP($C186,Intermediate!$C$2:$R$208,8,FALSE)=J186, "", IF(J186="x","+", "-"))</f>
        <v/>
      </c>
      <c r="AA186" s="1" t="str">
        <f>IF(VLOOKUP($C186,Intermediate!$C$2:$R$208,9,FALSE)=K186, "", IF(K186="x","+", "-"))</f>
        <v/>
      </c>
      <c r="AB186" s="1" t="str">
        <f>IF(VLOOKUP($C186,Intermediate!$C$2:$R$208,10,FALSE)=L186, "", IF(L186="x","+", "-"))</f>
        <v/>
      </c>
      <c r="AC186" s="1" t="str">
        <f>IF(VLOOKUP($C186,Intermediate!$C$2:$R$208,11,FALSE)=M186, "", IF(M186="x","+", "-"))</f>
        <v/>
      </c>
      <c r="AD186" s="1" t="str">
        <f>IF(VLOOKUP($C186,Intermediate!$C$2:$R$208,12,FALSE)=N186, "", IF(N186="x","+", "-"))</f>
        <v/>
      </c>
      <c r="AE186" s="1" t="str">
        <f>IF(VLOOKUP($C186,Intermediate!$C$2:$R$208,13,FALSE)=O186, "", IF(O186="x","+", "-"))</f>
        <v/>
      </c>
      <c r="AF186" s="1" t="str">
        <f>IF(VLOOKUP($C186,Intermediate!$C$2:$R$208,14,FALSE)=P186, "", IF(P186="x","+", "-"))</f>
        <v/>
      </c>
      <c r="AG186" s="1" t="str">
        <f>IF(VLOOKUP($C186,Intermediate!$C$2:$R$208,15,FALSE)=Q186, "", IF(Q186="x","+", "-"))</f>
        <v/>
      </c>
      <c r="AH186" s="1" t="str">
        <f>IF(VLOOKUP($C186,Intermediate!$C$2:$R$208,16,FALSE)=R186, "", IF(R186="x","+", "-"))</f>
        <v/>
      </c>
    </row>
    <row r="187" spans="1:34" ht="15" customHeight="1" x14ac:dyDescent="0.2">
      <c r="A187" s="7" t="s">
        <v>197</v>
      </c>
      <c r="B187" s="7" t="s">
        <v>36</v>
      </c>
      <c r="C187" s="9" t="str">
        <f t="shared" si="2"/>
        <v>VU Computer Programming</v>
      </c>
      <c r="D187" s="10"/>
      <c r="E187" s="10"/>
      <c r="F187" s="10"/>
      <c r="G187" s="10" t="s">
        <v>19</v>
      </c>
      <c r="H187" s="10"/>
      <c r="I187" s="10"/>
      <c r="J187" s="10"/>
      <c r="K187" s="11"/>
      <c r="L187" s="10"/>
      <c r="M187" s="10"/>
      <c r="N187" s="10"/>
      <c r="O187" s="10"/>
      <c r="P187" s="10"/>
      <c r="Q187" s="10"/>
      <c r="R187" s="10"/>
      <c r="S187" s="1"/>
      <c r="T187" s="1" t="str">
        <f>IF(VLOOKUP($C187,Intermediate!$C$2:$R$208,2,FALSE)=D187, "", IF(D187="x","+", "-"))</f>
        <v/>
      </c>
      <c r="U187" s="1" t="str">
        <f>IF(VLOOKUP($C187,Intermediate!$C$2:$R$208,3,FALSE)=E187, "", IF(E187="x","+", "-"))</f>
        <v/>
      </c>
      <c r="V187" s="1" t="str">
        <f>IF(VLOOKUP($C187,Intermediate!$C$2:$R$208,4,FALSE)=F187, "", IF(F187="x","+", "-"))</f>
        <v/>
      </c>
      <c r="W187" s="1" t="str">
        <f>IF(VLOOKUP($C187,Intermediate!$C$2:$R$208,5,FALSE)=G187, "", IF(G187="x","+", "-"))</f>
        <v/>
      </c>
      <c r="X187" s="1" t="str">
        <f>IF(VLOOKUP($C187,Intermediate!$C$2:$R$208,6,FALSE)=H187, "", IF(H187="x","+", "-"))</f>
        <v/>
      </c>
      <c r="Y187" s="1" t="str">
        <f>IF(VLOOKUP($C187,Intermediate!$C$2:$R$208,7,FALSE)=I187, "", IF(I187="x","+", "-"))</f>
        <v/>
      </c>
      <c r="Z187" s="1" t="str">
        <f>IF(VLOOKUP($C187,Intermediate!$C$2:$R$208,8,FALSE)=J187, "", IF(J187="x","+", "-"))</f>
        <v/>
      </c>
      <c r="AA187" s="1" t="str">
        <f>IF(VLOOKUP($C187,Intermediate!$C$2:$R$208,9,FALSE)=K187, "", IF(K187="x","+", "-"))</f>
        <v/>
      </c>
      <c r="AB187" s="1" t="str">
        <f>IF(VLOOKUP($C187,Intermediate!$C$2:$R$208,10,FALSE)=L187, "", IF(L187="x","+", "-"))</f>
        <v/>
      </c>
      <c r="AC187" s="1" t="str">
        <f>IF(VLOOKUP($C187,Intermediate!$C$2:$R$208,11,FALSE)=M187, "", IF(M187="x","+", "-"))</f>
        <v/>
      </c>
      <c r="AD187" s="1" t="str">
        <f>IF(VLOOKUP($C187,Intermediate!$C$2:$R$208,12,FALSE)=N187, "", IF(N187="x","+", "-"))</f>
        <v/>
      </c>
      <c r="AE187" s="1" t="str">
        <f>IF(VLOOKUP($C187,Intermediate!$C$2:$R$208,13,FALSE)=O187, "", IF(O187="x","+", "-"))</f>
        <v/>
      </c>
      <c r="AF187" s="1" t="str">
        <f>IF(VLOOKUP($C187,Intermediate!$C$2:$R$208,14,FALSE)=P187, "", IF(P187="x","+", "-"))</f>
        <v/>
      </c>
      <c r="AG187" s="1" t="str">
        <f>IF(VLOOKUP($C187,Intermediate!$C$2:$R$208,15,FALSE)=Q187, "", IF(Q187="x","+", "-"))</f>
        <v/>
      </c>
      <c r="AH187" s="1" t="str">
        <f>IF(VLOOKUP($C187,Intermediate!$C$2:$R$208,16,FALSE)=R187, "", IF(R187="x","+", "-"))</f>
        <v/>
      </c>
    </row>
    <row r="188" spans="1:34" ht="15" customHeight="1" x14ac:dyDescent="0.2">
      <c r="A188" s="7" t="s">
        <v>198</v>
      </c>
      <c r="B188" s="7" t="s">
        <v>36</v>
      </c>
      <c r="C188" s="9" t="str">
        <f t="shared" si="2"/>
        <v>VU Computer Programming Project</v>
      </c>
      <c r="D188" s="10"/>
      <c r="E188" s="10"/>
      <c r="F188" s="10"/>
      <c r="G188" s="10"/>
      <c r="H188" s="13"/>
      <c r="I188" s="13"/>
      <c r="J188" s="10"/>
      <c r="K188" s="10"/>
      <c r="L188" s="10"/>
      <c r="M188" s="10"/>
      <c r="N188" s="10"/>
      <c r="O188" s="10"/>
      <c r="P188" s="10"/>
      <c r="Q188" s="10"/>
      <c r="R188" s="10"/>
      <c r="S188" s="7"/>
      <c r="T188" s="1" t="str">
        <f>IF(VLOOKUP($C188,Intermediate!$C$2:$R$208,2,FALSE)=D188, "", IF(D188="x","+", "-"))</f>
        <v/>
      </c>
      <c r="U188" s="1" t="str">
        <f>IF(VLOOKUP($C188,Intermediate!$C$2:$R$208,3,FALSE)=E188, "", IF(E188="x","+", "-"))</f>
        <v/>
      </c>
      <c r="V188" s="1" t="str">
        <f>IF(VLOOKUP($C188,Intermediate!$C$2:$R$208,4,FALSE)=F188, "", IF(F188="x","+", "-"))</f>
        <v/>
      </c>
      <c r="W188" s="1" t="str">
        <f>IF(VLOOKUP($C188,Intermediate!$C$2:$R$208,5,FALSE)=G188, "", IF(G188="x","+", "-"))</f>
        <v/>
      </c>
      <c r="X188" s="1" t="str">
        <f>IF(VLOOKUP($C188,Intermediate!$C$2:$R$208,6,FALSE)=H188, "", IF(H188="x","+", "-"))</f>
        <v/>
      </c>
      <c r="Y188" s="1" t="str">
        <f>IF(VLOOKUP($C188,Intermediate!$C$2:$R$208,7,FALSE)=I188, "", IF(I188="x","+", "-"))</f>
        <v/>
      </c>
      <c r="Z188" s="1" t="str">
        <f>IF(VLOOKUP($C188,Intermediate!$C$2:$R$208,8,FALSE)=J188, "", IF(J188="x","+", "-"))</f>
        <v/>
      </c>
      <c r="AA188" s="1" t="str">
        <f>IF(VLOOKUP($C188,Intermediate!$C$2:$R$208,9,FALSE)=K188, "", IF(K188="x","+", "-"))</f>
        <v/>
      </c>
      <c r="AB188" s="1" t="str">
        <f>IF(VLOOKUP($C188,Intermediate!$C$2:$R$208,10,FALSE)=L188, "", IF(L188="x","+", "-"))</f>
        <v/>
      </c>
      <c r="AC188" s="1" t="str">
        <f>IF(VLOOKUP($C188,Intermediate!$C$2:$R$208,11,FALSE)=M188, "", IF(M188="x","+", "-"))</f>
        <v/>
      </c>
      <c r="AD188" s="1" t="str">
        <f>IF(VLOOKUP($C188,Intermediate!$C$2:$R$208,12,FALSE)=N188, "", IF(N188="x","+", "-"))</f>
        <v/>
      </c>
      <c r="AE188" s="1" t="str">
        <f>IF(VLOOKUP($C188,Intermediate!$C$2:$R$208,13,FALSE)=O188, "", IF(O188="x","+", "-"))</f>
        <v/>
      </c>
      <c r="AF188" s="1" t="str">
        <f>IF(VLOOKUP($C188,Intermediate!$C$2:$R$208,14,FALSE)=P188, "", IF(P188="x","+", "-"))</f>
        <v/>
      </c>
      <c r="AG188" s="1" t="str">
        <f>IF(VLOOKUP($C188,Intermediate!$C$2:$R$208,15,FALSE)=Q188, "", IF(Q188="x","+", "-"))</f>
        <v/>
      </c>
      <c r="AH188" s="1" t="str">
        <f>IF(VLOOKUP($C188,Intermediate!$C$2:$R$208,16,FALSE)=R188, "", IF(R188="x","+", "-"))</f>
        <v/>
      </c>
    </row>
    <row r="189" spans="1:34" ht="15" customHeight="1" x14ac:dyDescent="0.2">
      <c r="A189" s="7" t="s">
        <v>199</v>
      </c>
      <c r="B189" s="7" t="s">
        <v>36</v>
      </c>
      <c r="C189" s="9" t="str">
        <f t="shared" si="2"/>
        <v>VU Equational Programming</v>
      </c>
      <c r="D189" s="10"/>
      <c r="E189" s="10"/>
      <c r="F189" s="13"/>
      <c r="G189" s="10" t="s">
        <v>19</v>
      </c>
      <c r="H189" s="14"/>
      <c r="I189" s="11"/>
      <c r="J189" s="10"/>
      <c r="K189" s="13"/>
      <c r="L189" s="10"/>
      <c r="M189" s="10"/>
      <c r="N189" s="10"/>
      <c r="O189" s="10"/>
      <c r="P189" s="10"/>
      <c r="Q189" s="10"/>
      <c r="R189" s="10"/>
      <c r="S189" s="7"/>
      <c r="T189" s="1" t="str">
        <f>IF(VLOOKUP($C189,Intermediate!$C$2:$R$208,2,FALSE)=D189, "", IF(D189="x","+", "-"))</f>
        <v/>
      </c>
      <c r="U189" s="1" t="str">
        <f>IF(VLOOKUP($C189,Intermediate!$C$2:$R$208,3,FALSE)=E189, "", IF(E189="x","+", "-"))</f>
        <v/>
      </c>
      <c r="V189" s="1" t="str">
        <f>IF(VLOOKUP($C189,Intermediate!$C$2:$R$208,4,FALSE)=F189, "", IF(F189="x","+", "-"))</f>
        <v/>
      </c>
      <c r="W189" s="1" t="str">
        <f>IF(VLOOKUP($C189,Intermediate!$C$2:$R$208,5,FALSE)=G189, "", IF(G189="x","+", "-"))</f>
        <v/>
      </c>
      <c r="X189" s="1" t="str">
        <f>IF(VLOOKUP($C189,Intermediate!$C$2:$R$208,6,FALSE)=H189, "", IF(H189="x","+", "-"))</f>
        <v/>
      </c>
      <c r="Y189" s="1" t="str">
        <f>IF(VLOOKUP($C189,Intermediate!$C$2:$R$208,7,FALSE)=I189, "", IF(I189="x","+", "-"))</f>
        <v/>
      </c>
      <c r="Z189" s="1" t="str">
        <f>IF(VLOOKUP($C189,Intermediate!$C$2:$R$208,8,FALSE)=J189, "", IF(J189="x","+", "-"))</f>
        <v/>
      </c>
      <c r="AA189" s="1" t="str">
        <f>IF(VLOOKUP($C189,Intermediate!$C$2:$R$208,9,FALSE)=K189, "", IF(K189="x","+", "-"))</f>
        <v/>
      </c>
      <c r="AB189" s="1" t="str">
        <f>IF(VLOOKUP($C189,Intermediate!$C$2:$R$208,10,FALSE)=L189, "", IF(L189="x","+", "-"))</f>
        <v/>
      </c>
      <c r="AC189" s="1" t="str">
        <f>IF(VLOOKUP($C189,Intermediate!$C$2:$R$208,11,FALSE)=M189, "", IF(M189="x","+", "-"))</f>
        <v/>
      </c>
      <c r="AD189" s="1" t="str">
        <f>IF(VLOOKUP($C189,Intermediate!$C$2:$R$208,12,FALSE)=N189, "", IF(N189="x","+", "-"))</f>
        <v/>
      </c>
      <c r="AE189" s="1" t="str">
        <f>IF(VLOOKUP($C189,Intermediate!$C$2:$R$208,13,FALSE)=O189, "", IF(O189="x","+", "-"))</f>
        <v/>
      </c>
      <c r="AF189" s="1" t="str">
        <f>IF(VLOOKUP($C189,Intermediate!$C$2:$R$208,14,FALSE)=P189, "", IF(P189="x","+", "-"))</f>
        <v/>
      </c>
      <c r="AG189" s="1" t="str">
        <f>IF(VLOOKUP($C189,Intermediate!$C$2:$R$208,15,FALSE)=Q189, "", IF(Q189="x","+", "-"))</f>
        <v/>
      </c>
      <c r="AH189" s="1" t="str">
        <f>IF(VLOOKUP($C189,Intermediate!$C$2:$R$208,16,FALSE)=R189, "", IF(R189="x","+", "-"))</f>
        <v/>
      </c>
    </row>
    <row r="190" spans="1:34" ht="15" customHeight="1" x14ac:dyDescent="0.2">
      <c r="A190" s="7" t="s">
        <v>200</v>
      </c>
      <c r="B190" s="7" t="s">
        <v>36</v>
      </c>
      <c r="C190" s="9" t="str">
        <f t="shared" si="2"/>
        <v>VU Introduction to Programming</v>
      </c>
      <c r="D190" s="10"/>
      <c r="E190" s="10"/>
      <c r="F190" s="14"/>
      <c r="G190" s="10" t="s">
        <v>19</v>
      </c>
      <c r="H190" s="14"/>
      <c r="I190" s="10"/>
      <c r="J190" s="10"/>
      <c r="K190" s="11"/>
      <c r="L190" s="10"/>
      <c r="M190" s="13"/>
      <c r="N190" s="10"/>
      <c r="O190" s="10"/>
      <c r="P190" s="10"/>
      <c r="Q190" s="10"/>
      <c r="R190" s="10"/>
      <c r="S190" s="1"/>
      <c r="T190" s="1" t="str">
        <f>IF(VLOOKUP($C190,Intermediate!$C$2:$R$208,2,FALSE)=D190, "", IF(D190="x","+", "-"))</f>
        <v/>
      </c>
      <c r="U190" s="1" t="str">
        <f>IF(VLOOKUP($C190,Intermediate!$C$2:$R$208,3,FALSE)=E190, "", IF(E190="x","+", "-"))</f>
        <v/>
      </c>
      <c r="V190" s="1" t="str">
        <f>IF(VLOOKUP($C190,Intermediate!$C$2:$R$208,4,FALSE)=F190, "", IF(F190="x","+", "-"))</f>
        <v/>
      </c>
      <c r="W190" s="1" t="str">
        <f>IF(VLOOKUP($C190,Intermediate!$C$2:$R$208,5,FALSE)=G190, "", IF(G190="x","+", "-"))</f>
        <v/>
      </c>
      <c r="X190" s="1" t="str">
        <f>IF(VLOOKUP($C190,Intermediate!$C$2:$R$208,6,FALSE)=H190, "", IF(H190="x","+", "-"))</f>
        <v/>
      </c>
      <c r="Y190" s="1" t="str">
        <f>IF(VLOOKUP($C190,Intermediate!$C$2:$R$208,7,FALSE)=I190, "", IF(I190="x","+", "-"))</f>
        <v/>
      </c>
      <c r="Z190" s="1" t="str">
        <f>IF(VLOOKUP($C190,Intermediate!$C$2:$R$208,8,FALSE)=J190, "", IF(J190="x","+", "-"))</f>
        <v/>
      </c>
      <c r="AA190" s="1" t="str">
        <f>IF(VLOOKUP($C190,Intermediate!$C$2:$R$208,9,FALSE)=K190, "", IF(K190="x","+", "-"))</f>
        <v/>
      </c>
      <c r="AB190" s="1" t="str">
        <f>IF(VLOOKUP($C190,Intermediate!$C$2:$R$208,10,FALSE)=L190, "", IF(L190="x","+", "-"))</f>
        <v/>
      </c>
      <c r="AC190" s="1" t="str">
        <f>IF(VLOOKUP($C190,Intermediate!$C$2:$R$208,11,FALSE)=M190, "", IF(M190="x","+", "-"))</f>
        <v/>
      </c>
      <c r="AD190" s="1" t="str">
        <f>IF(VLOOKUP($C190,Intermediate!$C$2:$R$208,12,FALSE)=N190, "", IF(N190="x","+", "-"))</f>
        <v/>
      </c>
      <c r="AE190" s="1" t="str">
        <f>IF(VLOOKUP($C190,Intermediate!$C$2:$R$208,13,FALSE)=O190, "", IF(O190="x","+", "-"))</f>
        <v/>
      </c>
      <c r="AF190" s="1" t="str">
        <f>IF(VLOOKUP($C190,Intermediate!$C$2:$R$208,14,FALSE)=P190, "", IF(P190="x","+", "-"))</f>
        <v/>
      </c>
      <c r="AG190" s="1" t="str">
        <f>IF(VLOOKUP($C190,Intermediate!$C$2:$R$208,15,FALSE)=Q190, "", IF(Q190="x","+", "-"))</f>
        <v/>
      </c>
      <c r="AH190" s="1" t="str">
        <f>IF(VLOOKUP($C190,Intermediate!$C$2:$R$208,16,FALSE)=R190, "", IF(R190="x","+", "-"))</f>
        <v/>
      </c>
    </row>
    <row r="191" spans="1:34" ht="15" customHeight="1" x14ac:dyDescent="0.2">
      <c r="A191" s="7" t="s">
        <v>201</v>
      </c>
      <c r="B191" s="7" t="s">
        <v>36</v>
      </c>
      <c r="C191" s="9" t="str">
        <f t="shared" si="2"/>
        <v>VU Object-Oriented and Functional Programming</v>
      </c>
      <c r="D191" s="10"/>
      <c r="E191" s="10"/>
      <c r="F191" s="11"/>
      <c r="G191" s="10" t="s">
        <v>19</v>
      </c>
      <c r="H191" s="11"/>
      <c r="I191" s="10"/>
      <c r="J191" s="10"/>
      <c r="K191" s="10"/>
      <c r="L191" s="10"/>
      <c r="M191" s="14"/>
      <c r="N191" s="13"/>
      <c r="O191" s="10"/>
      <c r="P191" s="10"/>
      <c r="Q191" s="10"/>
      <c r="R191" s="10"/>
      <c r="S191" s="7"/>
      <c r="T191" s="1" t="str">
        <f>IF(VLOOKUP($C191,Intermediate!$C$2:$R$208,2,FALSE)=D191, "", IF(D191="x","+", "-"))</f>
        <v/>
      </c>
      <c r="U191" s="1" t="str">
        <f>IF(VLOOKUP($C191,Intermediate!$C$2:$R$208,3,FALSE)=E191, "", IF(E191="x","+", "-"))</f>
        <v/>
      </c>
      <c r="V191" s="1" t="str">
        <f>IF(VLOOKUP($C191,Intermediate!$C$2:$R$208,4,FALSE)=F191, "", IF(F191="x","+", "-"))</f>
        <v/>
      </c>
      <c r="W191" s="1" t="str">
        <f>IF(VLOOKUP($C191,Intermediate!$C$2:$R$208,5,FALSE)=G191, "", IF(G191="x","+", "-"))</f>
        <v/>
      </c>
      <c r="X191" s="1" t="str">
        <f>IF(VLOOKUP($C191,Intermediate!$C$2:$R$208,6,FALSE)=H191, "", IF(H191="x","+", "-"))</f>
        <v/>
      </c>
      <c r="Y191" s="1" t="str">
        <f>IF(VLOOKUP($C191,Intermediate!$C$2:$R$208,7,FALSE)=I191, "", IF(I191="x","+", "-"))</f>
        <v/>
      </c>
      <c r="Z191" s="1" t="str">
        <f>IF(VLOOKUP($C191,Intermediate!$C$2:$R$208,8,FALSE)=J191, "", IF(J191="x","+", "-"))</f>
        <v/>
      </c>
      <c r="AA191" s="1" t="str">
        <f>IF(VLOOKUP($C191,Intermediate!$C$2:$R$208,9,FALSE)=K191, "", IF(K191="x","+", "-"))</f>
        <v/>
      </c>
      <c r="AB191" s="1" t="str">
        <f>IF(VLOOKUP($C191,Intermediate!$C$2:$R$208,10,FALSE)=L191, "", IF(L191="x","+", "-"))</f>
        <v/>
      </c>
      <c r="AC191" s="1" t="str">
        <f>IF(VLOOKUP($C191,Intermediate!$C$2:$R$208,11,FALSE)=M191, "", IF(M191="x","+", "-"))</f>
        <v/>
      </c>
      <c r="AD191" s="1" t="str">
        <f>IF(VLOOKUP($C191,Intermediate!$C$2:$R$208,12,FALSE)=N191, "", IF(N191="x","+", "-"))</f>
        <v/>
      </c>
      <c r="AE191" s="1" t="str">
        <f>IF(VLOOKUP($C191,Intermediate!$C$2:$R$208,13,FALSE)=O191, "", IF(O191="x","+", "-"))</f>
        <v/>
      </c>
      <c r="AF191" s="1" t="str">
        <f>IF(VLOOKUP($C191,Intermediate!$C$2:$R$208,14,FALSE)=P191, "", IF(P191="x","+", "-"))</f>
        <v/>
      </c>
      <c r="AG191" s="1" t="str">
        <f>IF(VLOOKUP($C191,Intermediate!$C$2:$R$208,15,FALSE)=Q191, "", IF(Q191="x","+", "-"))</f>
        <v/>
      </c>
      <c r="AH191" s="1" t="str">
        <f>IF(VLOOKUP($C191,Intermediate!$C$2:$R$208,16,FALSE)=R191, "", IF(R191="x","+", "-"))</f>
        <v/>
      </c>
    </row>
    <row r="192" spans="1:34" ht="15" customHeight="1" x14ac:dyDescent="0.2">
      <c r="A192" s="7" t="s">
        <v>35</v>
      </c>
      <c r="B192" s="7" t="s">
        <v>36</v>
      </c>
      <c r="C192" s="9" t="str">
        <f t="shared" si="2"/>
        <v>VU Requirements Engineering</v>
      </c>
      <c r="D192" s="10" t="s">
        <v>19</v>
      </c>
      <c r="E192" s="10"/>
      <c r="F192" s="10"/>
      <c r="G192" s="10"/>
      <c r="H192" s="13"/>
      <c r="I192" s="10"/>
      <c r="J192" s="10"/>
      <c r="K192" s="10"/>
      <c r="L192" s="10" t="s">
        <v>19</v>
      </c>
      <c r="M192" s="11" t="s">
        <v>19</v>
      </c>
      <c r="N192" s="11"/>
      <c r="O192" s="10"/>
      <c r="P192" s="10"/>
      <c r="Q192" s="10"/>
      <c r="R192" s="10"/>
      <c r="S192" s="1"/>
      <c r="T192" s="1" t="str">
        <f>IF(VLOOKUP($C192,Intermediate!$C$2:$R$208,2,FALSE)=D192, "", IF(D192="x","+", "-"))</f>
        <v/>
      </c>
      <c r="U192" s="1" t="str">
        <f>IF(VLOOKUP($C192,Intermediate!$C$2:$R$208,3,FALSE)=E192, "", IF(E192="x","+", "-"))</f>
        <v/>
      </c>
      <c r="V192" s="1" t="str">
        <f>IF(VLOOKUP($C192,Intermediate!$C$2:$R$208,4,FALSE)=F192, "", IF(F192="x","+", "-"))</f>
        <v/>
      </c>
      <c r="W192" s="1" t="str">
        <f>IF(VLOOKUP($C192,Intermediate!$C$2:$R$208,5,FALSE)=G192, "", IF(G192="x","+", "-"))</f>
        <v/>
      </c>
      <c r="X192" s="1" t="str">
        <f>IF(VLOOKUP($C192,Intermediate!$C$2:$R$208,6,FALSE)=H192, "", IF(H192="x","+", "-"))</f>
        <v/>
      </c>
      <c r="Y192" s="1" t="str">
        <f>IF(VLOOKUP($C192,Intermediate!$C$2:$R$208,7,FALSE)=I192, "", IF(I192="x","+", "-"))</f>
        <v/>
      </c>
      <c r="Z192" s="1" t="str">
        <f>IF(VLOOKUP($C192,Intermediate!$C$2:$R$208,8,FALSE)=J192, "", IF(J192="x","+", "-"))</f>
        <v/>
      </c>
      <c r="AA192" s="1" t="str">
        <f>IF(VLOOKUP($C192,Intermediate!$C$2:$R$208,9,FALSE)=K192, "", IF(K192="x","+", "-"))</f>
        <v/>
      </c>
      <c r="AB192" s="1" t="str">
        <f>IF(VLOOKUP($C192,Intermediate!$C$2:$R$208,10,FALSE)=L192, "", IF(L192="x","+", "-"))</f>
        <v/>
      </c>
      <c r="AC192" s="1" t="str">
        <f>IF(VLOOKUP($C192,Intermediate!$C$2:$R$208,11,FALSE)=M192, "", IF(M192="x","+", "-"))</f>
        <v/>
      </c>
      <c r="AD192" s="1" t="str">
        <f>IF(VLOOKUP($C192,Intermediate!$C$2:$R$208,12,FALSE)=N192, "", IF(N192="x","+", "-"))</f>
        <v/>
      </c>
      <c r="AE192" s="1" t="str">
        <f>IF(VLOOKUP($C192,Intermediate!$C$2:$R$208,13,FALSE)=O192, "", IF(O192="x","+", "-"))</f>
        <v/>
      </c>
      <c r="AF192" s="1" t="str">
        <f>IF(VLOOKUP($C192,Intermediate!$C$2:$R$208,14,FALSE)=P192, "", IF(P192="x","+", "-"))</f>
        <v/>
      </c>
      <c r="AG192" s="1" t="str">
        <f>IF(VLOOKUP($C192,Intermediate!$C$2:$R$208,15,FALSE)=Q192, "", IF(Q192="x","+", "-"))</f>
        <v/>
      </c>
      <c r="AH192" s="1" t="str">
        <f>IF(VLOOKUP($C192,Intermediate!$C$2:$R$208,16,FALSE)=R192, "", IF(R192="x","+", "-"))</f>
        <v/>
      </c>
    </row>
    <row r="193" spans="1:34" ht="15" customHeight="1" x14ac:dyDescent="0.2">
      <c r="A193" s="7" t="s">
        <v>202</v>
      </c>
      <c r="B193" s="7" t="s">
        <v>36</v>
      </c>
      <c r="C193" s="9" t="str">
        <f t="shared" si="2"/>
        <v>VU Secure programming</v>
      </c>
      <c r="D193" s="13"/>
      <c r="E193" s="10"/>
      <c r="F193" s="10"/>
      <c r="G193" s="13" t="s">
        <v>19</v>
      </c>
      <c r="H193" s="14"/>
      <c r="I193" s="10"/>
      <c r="J193" s="10"/>
      <c r="K193" s="10"/>
      <c r="L193" s="10"/>
      <c r="M193" s="10"/>
      <c r="N193" s="13"/>
      <c r="O193" s="10" t="s">
        <v>19</v>
      </c>
      <c r="P193" s="10"/>
      <c r="Q193" s="10" t="s">
        <v>19</v>
      </c>
      <c r="R193" s="10"/>
      <c r="S193" s="7"/>
      <c r="T193" s="1" t="str">
        <f>IF(VLOOKUP($C193,Intermediate!$C$2:$R$208,2,FALSE)=D193, "", IF(D193="x","+", "-"))</f>
        <v/>
      </c>
      <c r="U193" s="1" t="str">
        <f>IF(VLOOKUP($C193,Intermediate!$C$2:$R$208,3,FALSE)=E193, "", IF(E193="x","+", "-"))</f>
        <v/>
      </c>
      <c r="V193" s="1" t="str">
        <f>IF(VLOOKUP($C193,Intermediate!$C$2:$R$208,4,FALSE)=F193, "", IF(F193="x","+", "-"))</f>
        <v/>
      </c>
      <c r="W193" s="1" t="str">
        <f>IF(VLOOKUP($C193,Intermediate!$C$2:$R$208,5,FALSE)=G193, "", IF(G193="x","+", "-"))</f>
        <v/>
      </c>
      <c r="X193" s="1" t="str">
        <f>IF(VLOOKUP($C193,Intermediate!$C$2:$R$208,6,FALSE)=H193, "", IF(H193="x","+", "-"))</f>
        <v/>
      </c>
      <c r="Y193" s="1" t="str">
        <f>IF(VLOOKUP($C193,Intermediate!$C$2:$R$208,7,FALSE)=I193, "", IF(I193="x","+", "-"))</f>
        <v/>
      </c>
      <c r="Z193" s="1" t="str">
        <f>IF(VLOOKUP($C193,Intermediate!$C$2:$R$208,8,FALSE)=J193, "", IF(J193="x","+", "-"))</f>
        <v/>
      </c>
      <c r="AA193" s="1" t="str">
        <f>IF(VLOOKUP($C193,Intermediate!$C$2:$R$208,9,FALSE)=K193, "", IF(K193="x","+", "-"))</f>
        <v/>
      </c>
      <c r="AB193" s="1" t="str">
        <f>IF(VLOOKUP($C193,Intermediate!$C$2:$R$208,10,FALSE)=L193, "", IF(L193="x","+", "-"))</f>
        <v/>
      </c>
      <c r="AC193" s="1" t="str">
        <f>IF(VLOOKUP($C193,Intermediate!$C$2:$R$208,11,FALSE)=M193, "", IF(M193="x","+", "-"))</f>
        <v/>
      </c>
      <c r="AD193" s="1" t="str">
        <f>IF(VLOOKUP($C193,Intermediate!$C$2:$R$208,12,FALSE)=N193, "", IF(N193="x","+", "-"))</f>
        <v/>
      </c>
      <c r="AE193" s="1" t="str">
        <f>IF(VLOOKUP($C193,Intermediate!$C$2:$R$208,13,FALSE)=O193, "", IF(O193="x","+", "-"))</f>
        <v/>
      </c>
      <c r="AF193" s="1" t="str">
        <f>IF(VLOOKUP($C193,Intermediate!$C$2:$R$208,14,FALSE)=P193, "", IF(P193="x","+", "-"))</f>
        <v/>
      </c>
      <c r="AG193" s="1" t="str">
        <f>IF(VLOOKUP($C193,Intermediate!$C$2:$R$208,15,FALSE)=Q193, "", IF(Q193="x","+", "-"))</f>
        <v/>
      </c>
      <c r="AH193" s="1" t="str">
        <f>IF(VLOOKUP($C193,Intermediate!$C$2:$R$208,16,FALSE)=R193, "", IF(R193="x","+", "-"))</f>
        <v/>
      </c>
    </row>
    <row r="194" spans="1:34" ht="15" customHeight="1" x14ac:dyDescent="0.2">
      <c r="A194" s="7" t="s">
        <v>203</v>
      </c>
      <c r="B194" s="7" t="s">
        <v>36</v>
      </c>
      <c r="C194" s="9" t="str">
        <f t="shared" si="2"/>
        <v>VU Security and Safety Engineering</v>
      </c>
      <c r="D194" s="11"/>
      <c r="E194" s="13"/>
      <c r="F194" s="10"/>
      <c r="G194" s="11"/>
      <c r="H194" s="14"/>
      <c r="I194" s="10"/>
      <c r="J194" s="10"/>
      <c r="K194" s="10"/>
      <c r="L194" s="10"/>
      <c r="M194" s="13"/>
      <c r="N194" s="11" t="s">
        <v>19</v>
      </c>
      <c r="O194" s="10" t="s">
        <v>19</v>
      </c>
      <c r="P194" s="10"/>
      <c r="Q194" s="10" t="s">
        <v>19</v>
      </c>
      <c r="R194" s="10"/>
      <c r="S194" s="7"/>
      <c r="T194" s="1" t="str">
        <f>IF(VLOOKUP($C194,Intermediate!$C$2:$R$208,2,FALSE)=D194, "", IF(D194="x","+", "-"))</f>
        <v/>
      </c>
      <c r="U194" s="1" t="str">
        <f>IF(VLOOKUP($C194,Intermediate!$C$2:$R$208,3,FALSE)=E194, "", IF(E194="x","+", "-"))</f>
        <v/>
      </c>
      <c r="V194" s="1" t="str">
        <f>IF(VLOOKUP($C194,Intermediate!$C$2:$R$208,4,FALSE)=F194, "", IF(F194="x","+", "-"))</f>
        <v/>
      </c>
      <c r="W194" s="1" t="str">
        <f>IF(VLOOKUP($C194,Intermediate!$C$2:$R$208,5,FALSE)=G194, "", IF(G194="x","+", "-"))</f>
        <v/>
      </c>
      <c r="X194" s="1" t="str">
        <f>IF(VLOOKUP($C194,Intermediate!$C$2:$R$208,6,FALSE)=H194, "", IF(H194="x","+", "-"))</f>
        <v/>
      </c>
      <c r="Y194" s="1" t="str">
        <f>IF(VLOOKUP($C194,Intermediate!$C$2:$R$208,7,FALSE)=I194, "", IF(I194="x","+", "-"))</f>
        <v/>
      </c>
      <c r="Z194" s="1" t="str">
        <f>IF(VLOOKUP($C194,Intermediate!$C$2:$R$208,8,FALSE)=J194, "", IF(J194="x","+", "-"))</f>
        <v/>
      </c>
      <c r="AA194" s="1" t="str">
        <f>IF(VLOOKUP($C194,Intermediate!$C$2:$R$208,9,FALSE)=K194, "", IF(K194="x","+", "-"))</f>
        <v/>
      </c>
      <c r="AB194" s="1" t="str">
        <f>IF(VLOOKUP($C194,Intermediate!$C$2:$R$208,10,FALSE)=L194, "", IF(L194="x","+", "-"))</f>
        <v/>
      </c>
      <c r="AC194" s="1" t="str">
        <f>IF(VLOOKUP($C194,Intermediate!$C$2:$R$208,11,FALSE)=M194, "", IF(M194="x","+", "-"))</f>
        <v/>
      </c>
      <c r="AD194" s="1" t="str">
        <f>IF(VLOOKUP($C194,Intermediate!$C$2:$R$208,12,FALSE)=N194, "", IF(N194="x","+", "-"))</f>
        <v/>
      </c>
      <c r="AE194" s="1" t="str">
        <f>IF(VLOOKUP($C194,Intermediate!$C$2:$R$208,13,FALSE)=O194, "", IF(O194="x","+", "-"))</f>
        <v/>
      </c>
      <c r="AF194" s="1" t="str">
        <f>IF(VLOOKUP($C194,Intermediate!$C$2:$R$208,14,FALSE)=P194, "", IF(P194="x","+", "-"))</f>
        <v/>
      </c>
      <c r="AG194" s="1" t="str">
        <f>IF(VLOOKUP($C194,Intermediate!$C$2:$R$208,15,FALSE)=Q194, "", IF(Q194="x","+", "-"))</f>
        <v/>
      </c>
      <c r="AH194" s="1" t="str">
        <f>IF(VLOOKUP($C194,Intermediate!$C$2:$R$208,16,FALSE)=R194, "", IF(R194="x","+", "-"))</f>
        <v/>
      </c>
    </row>
    <row r="195" spans="1:34" ht="15" customHeight="1" x14ac:dyDescent="0.2">
      <c r="A195" s="7" t="s">
        <v>61</v>
      </c>
      <c r="B195" s="7" t="s">
        <v>36</v>
      </c>
      <c r="C195" s="9" t="str">
        <f t="shared" ref="C195:C208" si="3">_xlfn.CONCAT(B195, " ", A195)</f>
        <v>VU Software Design</v>
      </c>
      <c r="D195" s="10"/>
      <c r="E195" s="11"/>
      <c r="F195" s="13" t="s">
        <v>19</v>
      </c>
      <c r="G195" s="10" t="s">
        <v>19</v>
      </c>
      <c r="H195" s="14"/>
      <c r="I195" s="10"/>
      <c r="J195" s="10"/>
      <c r="K195" s="10"/>
      <c r="L195" s="10" t="s">
        <v>19</v>
      </c>
      <c r="M195" s="11"/>
      <c r="N195" s="10" t="s">
        <v>19</v>
      </c>
      <c r="O195" s="10"/>
      <c r="P195" s="10"/>
      <c r="Q195" s="13"/>
      <c r="R195" s="10"/>
      <c r="S195" s="1"/>
      <c r="T195" s="1" t="str">
        <f>IF(VLOOKUP($C195,Intermediate!$C$2:$R$208,2,FALSE)=D195, "", IF(D195="x","+", "-"))</f>
        <v/>
      </c>
      <c r="U195" s="1" t="str">
        <f>IF(VLOOKUP($C195,Intermediate!$C$2:$R$208,3,FALSE)=E195, "", IF(E195="x","+", "-"))</f>
        <v/>
      </c>
      <c r="V195" s="1" t="str">
        <f>IF(VLOOKUP($C195,Intermediate!$C$2:$R$208,4,FALSE)=F195, "", IF(F195="x","+", "-"))</f>
        <v/>
      </c>
      <c r="W195" s="1" t="str">
        <f>IF(VLOOKUP($C195,Intermediate!$C$2:$R$208,5,FALSE)=G195, "", IF(G195="x","+", "-"))</f>
        <v/>
      </c>
      <c r="X195" s="1" t="str">
        <f>IF(VLOOKUP($C195,Intermediate!$C$2:$R$208,6,FALSE)=H195, "", IF(H195="x","+", "-"))</f>
        <v/>
      </c>
      <c r="Y195" s="1" t="str">
        <f>IF(VLOOKUP($C195,Intermediate!$C$2:$R$208,7,FALSE)=I195, "", IF(I195="x","+", "-"))</f>
        <v/>
      </c>
      <c r="Z195" s="1" t="str">
        <f>IF(VLOOKUP($C195,Intermediate!$C$2:$R$208,8,FALSE)=J195, "", IF(J195="x","+", "-"))</f>
        <v/>
      </c>
      <c r="AA195" s="1" t="str">
        <f>IF(VLOOKUP($C195,Intermediate!$C$2:$R$208,9,FALSE)=K195, "", IF(K195="x","+", "-"))</f>
        <v/>
      </c>
      <c r="AB195" s="1" t="str">
        <f>IF(VLOOKUP($C195,Intermediate!$C$2:$R$208,10,FALSE)=L195, "", IF(L195="x","+", "-"))</f>
        <v/>
      </c>
      <c r="AC195" s="1" t="str">
        <f>IF(VLOOKUP($C195,Intermediate!$C$2:$R$208,11,FALSE)=M195, "", IF(M195="x","+", "-"))</f>
        <v/>
      </c>
      <c r="AD195" s="1" t="str">
        <f>IF(VLOOKUP($C195,Intermediate!$C$2:$R$208,12,FALSE)=N195, "", IF(N195="x","+", "-"))</f>
        <v/>
      </c>
      <c r="AE195" s="1" t="str">
        <f>IF(VLOOKUP($C195,Intermediate!$C$2:$R$208,13,FALSE)=O195, "", IF(O195="x","+", "-"))</f>
        <v/>
      </c>
      <c r="AF195" s="1" t="str">
        <f>IF(VLOOKUP($C195,Intermediate!$C$2:$R$208,14,FALSE)=P195, "", IF(P195="x","+", "-"))</f>
        <v/>
      </c>
      <c r="AG195" s="1" t="str">
        <f>IF(VLOOKUP($C195,Intermediate!$C$2:$R$208,15,FALSE)=Q195, "", IF(Q195="x","+", "-"))</f>
        <v/>
      </c>
      <c r="AH195" s="1" t="str">
        <f>IF(VLOOKUP($C195,Intermediate!$C$2:$R$208,16,FALSE)=R195, "", IF(R195="x","+", "-"))</f>
        <v/>
      </c>
    </row>
    <row r="196" spans="1:34" ht="15" customHeight="1" x14ac:dyDescent="0.2">
      <c r="A196" s="7" t="s">
        <v>204</v>
      </c>
      <c r="B196" s="7" t="s">
        <v>36</v>
      </c>
      <c r="C196" s="9" t="str">
        <f t="shared" si="3"/>
        <v>VU Web Technology</v>
      </c>
      <c r="D196" s="10"/>
      <c r="E196" s="10"/>
      <c r="F196" s="14"/>
      <c r="G196" s="10" t="s">
        <v>19</v>
      </c>
      <c r="H196" s="11"/>
      <c r="I196" s="10"/>
      <c r="J196" s="10"/>
      <c r="K196" s="10"/>
      <c r="L196" s="10"/>
      <c r="M196" s="10"/>
      <c r="N196" s="10"/>
      <c r="O196" s="10"/>
      <c r="P196" s="13"/>
      <c r="Q196" s="11"/>
      <c r="R196" s="10"/>
      <c r="S196" s="7"/>
      <c r="T196" s="1" t="str">
        <f>IF(VLOOKUP($C196,Intermediate!$C$2:$R$208,2,FALSE)=D196, "", IF(D196="x","+", "-"))</f>
        <v/>
      </c>
      <c r="U196" s="1" t="str">
        <f>IF(VLOOKUP($C196,Intermediate!$C$2:$R$208,3,FALSE)=E196, "", IF(E196="x","+", "-"))</f>
        <v/>
      </c>
      <c r="V196" s="1" t="str">
        <f>IF(VLOOKUP($C196,Intermediate!$C$2:$R$208,4,FALSE)=F196, "", IF(F196="x","+", "-"))</f>
        <v/>
      </c>
      <c r="W196" s="1" t="str">
        <f>IF(VLOOKUP($C196,Intermediate!$C$2:$R$208,5,FALSE)=G196, "", IF(G196="x","+", "-"))</f>
        <v/>
      </c>
      <c r="X196" s="1" t="str">
        <f>IF(VLOOKUP($C196,Intermediate!$C$2:$R$208,6,FALSE)=H196, "", IF(H196="x","+", "-"))</f>
        <v/>
      </c>
      <c r="Y196" s="1" t="str">
        <f>IF(VLOOKUP($C196,Intermediate!$C$2:$R$208,7,FALSE)=I196, "", IF(I196="x","+", "-"))</f>
        <v/>
      </c>
      <c r="Z196" s="1" t="str">
        <f>IF(VLOOKUP($C196,Intermediate!$C$2:$R$208,8,FALSE)=J196, "", IF(J196="x","+", "-"))</f>
        <v/>
      </c>
      <c r="AA196" s="1" t="str">
        <f>IF(VLOOKUP($C196,Intermediate!$C$2:$R$208,9,FALSE)=K196, "", IF(K196="x","+", "-"))</f>
        <v/>
      </c>
      <c r="AB196" s="1" t="str">
        <f>IF(VLOOKUP($C196,Intermediate!$C$2:$R$208,10,FALSE)=L196, "", IF(L196="x","+", "-"))</f>
        <v/>
      </c>
      <c r="AC196" s="1" t="str">
        <f>IF(VLOOKUP($C196,Intermediate!$C$2:$R$208,11,FALSE)=M196, "", IF(M196="x","+", "-"))</f>
        <v/>
      </c>
      <c r="AD196" s="1" t="str">
        <f>IF(VLOOKUP($C196,Intermediate!$C$2:$R$208,12,FALSE)=N196, "", IF(N196="x","+", "-"))</f>
        <v/>
      </c>
      <c r="AE196" s="1" t="str">
        <f>IF(VLOOKUP($C196,Intermediate!$C$2:$R$208,13,FALSE)=O196, "", IF(O196="x","+", "-"))</f>
        <v/>
      </c>
      <c r="AF196" s="1" t="str">
        <f>IF(VLOOKUP($C196,Intermediate!$C$2:$R$208,14,FALSE)=P196, "", IF(P196="x","+", "-"))</f>
        <v/>
      </c>
      <c r="AG196" s="1" t="str">
        <f>IF(VLOOKUP($C196,Intermediate!$C$2:$R$208,15,FALSE)=Q196, "", IF(Q196="x","+", "-"))</f>
        <v/>
      </c>
      <c r="AH196" s="1" t="str">
        <f>IF(VLOOKUP($C196,Intermediate!$C$2:$R$208,16,FALSE)=R196, "", IF(R196="x","+", "-"))</f>
        <v/>
      </c>
    </row>
    <row r="197" spans="1:34" ht="15" customHeight="1" x14ac:dyDescent="0.2">
      <c r="A197" s="7" t="s">
        <v>71</v>
      </c>
      <c r="B197" s="7" t="s">
        <v>36</v>
      </c>
      <c r="C197" s="9" t="str">
        <f t="shared" si="3"/>
        <v>VU Digital Architecture</v>
      </c>
      <c r="D197" s="13" t="s">
        <v>19</v>
      </c>
      <c r="E197" s="10" t="s">
        <v>19</v>
      </c>
      <c r="F197" s="14"/>
      <c r="G197" s="13"/>
      <c r="H197" s="10"/>
      <c r="I197" s="10"/>
      <c r="J197" s="10" t="s">
        <v>19</v>
      </c>
      <c r="K197" s="10"/>
      <c r="L197" s="10"/>
      <c r="M197" s="10"/>
      <c r="N197" s="13" t="s">
        <v>19</v>
      </c>
      <c r="O197" s="10"/>
      <c r="P197" s="11"/>
      <c r="Q197" s="10"/>
      <c r="R197" s="10"/>
      <c r="S197" s="1"/>
      <c r="T197" s="1" t="str">
        <f>IF(VLOOKUP($C197,Intermediate!$C$2:$R$208,2,FALSE)=D197, "", IF(D197="x","+", "-"))</f>
        <v/>
      </c>
      <c r="U197" s="1" t="str">
        <f>IF(VLOOKUP($C197,Intermediate!$C$2:$R$208,3,FALSE)=E197, "", IF(E197="x","+", "-"))</f>
        <v/>
      </c>
      <c r="V197" s="1" t="str">
        <f>IF(VLOOKUP($C197,Intermediate!$C$2:$R$208,4,FALSE)=F197, "", IF(F197="x","+", "-"))</f>
        <v/>
      </c>
      <c r="W197" s="1" t="str">
        <f>IF(VLOOKUP($C197,Intermediate!$C$2:$R$208,5,FALSE)=G197, "", IF(G197="x","+", "-"))</f>
        <v/>
      </c>
      <c r="X197" s="1" t="str">
        <f>IF(VLOOKUP($C197,Intermediate!$C$2:$R$208,6,FALSE)=H197, "", IF(H197="x","+", "-"))</f>
        <v/>
      </c>
      <c r="Y197" s="1" t="str">
        <f>IF(VLOOKUP($C197,Intermediate!$C$2:$R$208,7,FALSE)=I197, "", IF(I197="x","+", "-"))</f>
        <v/>
      </c>
      <c r="Z197" s="1" t="str">
        <f>IF(VLOOKUP($C197,Intermediate!$C$2:$R$208,8,FALSE)=J197, "", IF(J197="x","+", "-"))</f>
        <v/>
      </c>
      <c r="AA197" s="1" t="str">
        <f>IF(VLOOKUP($C197,Intermediate!$C$2:$R$208,9,FALSE)=K197, "", IF(K197="x","+", "-"))</f>
        <v/>
      </c>
      <c r="AB197" s="1" t="str">
        <f>IF(VLOOKUP($C197,Intermediate!$C$2:$R$208,10,FALSE)=L197, "", IF(L197="x","+", "-"))</f>
        <v/>
      </c>
      <c r="AC197" s="1" t="str">
        <f>IF(VLOOKUP($C197,Intermediate!$C$2:$R$208,11,FALSE)=M197, "", IF(M197="x","+", "-"))</f>
        <v/>
      </c>
      <c r="AD197" s="1" t="str">
        <f>IF(VLOOKUP($C197,Intermediate!$C$2:$R$208,12,FALSE)=N197, "", IF(N197="x","+", "-"))</f>
        <v/>
      </c>
      <c r="AE197" s="1" t="str">
        <f>IF(VLOOKUP($C197,Intermediate!$C$2:$R$208,13,FALSE)=O197, "", IF(O197="x","+", "-"))</f>
        <v/>
      </c>
      <c r="AF197" s="1" t="str">
        <f>IF(VLOOKUP($C197,Intermediate!$C$2:$R$208,14,FALSE)=P197, "", IF(P197="x","+", "-"))</f>
        <v/>
      </c>
      <c r="AG197" s="1" t="str">
        <f>IF(VLOOKUP($C197,Intermediate!$C$2:$R$208,15,FALSE)=Q197, "", IF(Q197="x","+", "-"))</f>
        <v/>
      </c>
      <c r="AH197" s="1" t="str">
        <f>IF(VLOOKUP($C197,Intermediate!$C$2:$R$208,16,FALSE)=R197, "", IF(R197="x","+", "-"))</f>
        <v/>
      </c>
    </row>
    <row r="198" spans="1:34" ht="15" customHeight="1" x14ac:dyDescent="0.2">
      <c r="A198" s="7" t="s">
        <v>205</v>
      </c>
      <c r="B198" s="7" t="s">
        <v>36</v>
      </c>
      <c r="C198" s="9" t="str">
        <f t="shared" si="3"/>
        <v>VU Fundamentals of Adaptive Software</v>
      </c>
      <c r="D198" s="11"/>
      <c r="E198" s="10" t="s">
        <v>19</v>
      </c>
      <c r="F198" s="11" t="s">
        <v>19</v>
      </c>
      <c r="G198" s="14"/>
      <c r="H198" s="13"/>
      <c r="I198" s="10"/>
      <c r="J198" s="10"/>
      <c r="K198" s="10"/>
      <c r="L198" s="10"/>
      <c r="M198" s="10"/>
      <c r="N198" s="11"/>
      <c r="O198" s="10"/>
      <c r="P198" s="10"/>
      <c r="Q198" s="10"/>
      <c r="R198" s="10"/>
      <c r="S198" s="1"/>
      <c r="T198" s="1" t="str">
        <f>IF(VLOOKUP($C198,Intermediate!$C$2:$R$208,2,FALSE)=D198, "", IF(D198="x","+", "-"))</f>
        <v/>
      </c>
      <c r="U198" s="1" t="str">
        <f>IF(VLOOKUP($C198,Intermediate!$C$2:$R$208,3,FALSE)=E198, "", IF(E198="x","+", "-"))</f>
        <v/>
      </c>
      <c r="V198" s="1" t="str">
        <f>IF(VLOOKUP($C198,Intermediate!$C$2:$R$208,4,FALSE)=F198, "", IF(F198="x","+", "-"))</f>
        <v/>
      </c>
      <c r="W198" s="1" t="str">
        <f>IF(VLOOKUP($C198,Intermediate!$C$2:$R$208,5,FALSE)=G198, "", IF(G198="x","+", "-"))</f>
        <v/>
      </c>
      <c r="X198" s="1" t="str">
        <f>IF(VLOOKUP($C198,Intermediate!$C$2:$R$208,6,FALSE)=H198, "", IF(H198="x","+", "-"))</f>
        <v/>
      </c>
      <c r="Y198" s="1" t="str">
        <f>IF(VLOOKUP($C198,Intermediate!$C$2:$R$208,7,FALSE)=I198, "", IF(I198="x","+", "-"))</f>
        <v/>
      </c>
      <c r="Z198" s="1" t="str">
        <f>IF(VLOOKUP($C198,Intermediate!$C$2:$R$208,8,FALSE)=J198, "", IF(J198="x","+", "-"))</f>
        <v/>
      </c>
      <c r="AA198" s="1" t="str">
        <f>IF(VLOOKUP($C198,Intermediate!$C$2:$R$208,9,FALSE)=K198, "", IF(K198="x","+", "-"))</f>
        <v/>
      </c>
      <c r="AB198" s="1" t="str">
        <f>IF(VLOOKUP($C198,Intermediate!$C$2:$R$208,10,FALSE)=L198, "", IF(L198="x","+", "-"))</f>
        <v/>
      </c>
      <c r="AC198" s="1" t="str">
        <f>IF(VLOOKUP($C198,Intermediate!$C$2:$R$208,11,FALSE)=M198, "", IF(M198="x","+", "-"))</f>
        <v/>
      </c>
      <c r="AD198" s="1" t="str">
        <f>IF(VLOOKUP($C198,Intermediate!$C$2:$R$208,12,FALSE)=N198, "", IF(N198="x","+", "-"))</f>
        <v/>
      </c>
      <c r="AE198" s="1" t="str">
        <f>IF(VLOOKUP($C198,Intermediate!$C$2:$R$208,13,FALSE)=O198, "", IF(O198="x","+", "-"))</f>
        <v/>
      </c>
      <c r="AF198" s="1" t="str">
        <f>IF(VLOOKUP($C198,Intermediate!$C$2:$R$208,14,FALSE)=P198, "", IF(P198="x","+", "-"))</f>
        <v/>
      </c>
      <c r="AG198" s="1" t="str">
        <f>IF(VLOOKUP($C198,Intermediate!$C$2:$R$208,15,FALSE)=Q198, "", IF(Q198="x","+", "-"))</f>
        <v/>
      </c>
      <c r="AH198" s="1" t="str">
        <f>IF(VLOOKUP($C198,Intermediate!$C$2:$R$208,16,FALSE)=R198, "", IF(R198="x","+", "-"))</f>
        <v/>
      </c>
    </row>
    <row r="199" spans="1:34" ht="15" customHeight="1" x14ac:dyDescent="0.2">
      <c r="A199" s="7" t="s">
        <v>72</v>
      </c>
      <c r="B199" s="7" t="s">
        <v>36</v>
      </c>
      <c r="C199" s="9" t="str">
        <f t="shared" si="3"/>
        <v>VU Green Lab</v>
      </c>
      <c r="D199" s="10"/>
      <c r="E199" s="10"/>
      <c r="F199" s="10"/>
      <c r="G199" s="11"/>
      <c r="H199" s="11"/>
      <c r="I199" s="10"/>
      <c r="J199" s="10" t="s">
        <v>19</v>
      </c>
      <c r="K199" s="10"/>
      <c r="L199" s="10"/>
      <c r="M199" s="10"/>
      <c r="N199" s="10"/>
      <c r="O199" s="10"/>
      <c r="P199" s="10"/>
      <c r="Q199" s="10"/>
      <c r="R199" s="10"/>
      <c r="S199" s="1"/>
      <c r="T199" s="1" t="str">
        <f>IF(VLOOKUP($C199,Intermediate!$C$2:$R$208,2,FALSE)=D199, "", IF(D199="x","+", "-"))</f>
        <v/>
      </c>
      <c r="U199" s="1" t="str">
        <f>IF(VLOOKUP($C199,Intermediate!$C$2:$R$208,3,FALSE)=E199, "", IF(E199="x","+", "-"))</f>
        <v/>
      </c>
      <c r="V199" s="1" t="str">
        <f>IF(VLOOKUP($C199,Intermediate!$C$2:$R$208,4,FALSE)=F199, "", IF(F199="x","+", "-"))</f>
        <v/>
      </c>
      <c r="W199" s="1" t="str">
        <f>IF(VLOOKUP($C199,Intermediate!$C$2:$R$208,5,FALSE)=G199, "", IF(G199="x","+", "-"))</f>
        <v/>
      </c>
      <c r="X199" s="1" t="str">
        <f>IF(VLOOKUP($C199,Intermediate!$C$2:$R$208,6,FALSE)=H199, "", IF(H199="x","+", "-"))</f>
        <v/>
      </c>
      <c r="Y199" s="1" t="str">
        <f>IF(VLOOKUP($C199,Intermediate!$C$2:$R$208,7,FALSE)=I199, "", IF(I199="x","+", "-"))</f>
        <v/>
      </c>
      <c r="Z199" s="1" t="str">
        <f>IF(VLOOKUP($C199,Intermediate!$C$2:$R$208,8,FALSE)=J199, "", IF(J199="x","+", "-"))</f>
        <v/>
      </c>
      <c r="AA199" s="1" t="str">
        <f>IF(VLOOKUP($C199,Intermediate!$C$2:$R$208,9,FALSE)=K199, "", IF(K199="x","+", "-"))</f>
        <v/>
      </c>
      <c r="AB199" s="1" t="str">
        <f>IF(VLOOKUP($C199,Intermediate!$C$2:$R$208,10,FALSE)=L199, "", IF(L199="x","+", "-"))</f>
        <v/>
      </c>
      <c r="AC199" s="1" t="str">
        <f>IF(VLOOKUP($C199,Intermediate!$C$2:$R$208,11,FALSE)=M199, "", IF(M199="x","+", "-"))</f>
        <v/>
      </c>
      <c r="AD199" s="1" t="str">
        <f>IF(VLOOKUP($C199,Intermediate!$C$2:$R$208,12,FALSE)=N199, "", IF(N199="x","+", "-"))</f>
        <v/>
      </c>
      <c r="AE199" s="1" t="str">
        <f>IF(VLOOKUP($C199,Intermediate!$C$2:$R$208,13,FALSE)=O199, "", IF(O199="x","+", "-"))</f>
        <v/>
      </c>
      <c r="AF199" s="1" t="str">
        <f>IF(VLOOKUP($C199,Intermediate!$C$2:$R$208,14,FALSE)=P199, "", IF(P199="x","+", "-"))</f>
        <v/>
      </c>
      <c r="AG199" s="1" t="str">
        <f>IF(VLOOKUP($C199,Intermediate!$C$2:$R$208,15,FALSE)=Q199, "", IF(Q199="x","+", "-"))</f>
        <v/>
      </c>
      <c r="AH199" s="1" t="str">
        <f>IF(VLOOKUP($C199,Intermediate!$C$2:$R$208,16,FALSE)=R199, "", IF(R199="x","+", "-"))</f>
        <v/>
      </c>
    </row>
    <row r="200" spans="1:34" ht="15" customHeight="1" x14ac:dyDescent="0.2">
      <c r="A200" s="7" t="s">
        <v>206</v>
      </c>
      <c r="B200" s="7" t="s">
        <v>36</v>
      </c>
      <c r="C200" s="9" t="str">
        <f t="shared" si="3"/>
        <v>VU Individual Systems Practical</v>
      </c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"/>
      <c r="T200" s="1" t="str">
        <f>IF(VLOOKUP($C200,Intermediate!$C$2:$R$208,2,FALSE)=D200, "", IF(D200="x","+", "-"))</f>
        <v/>
      </c>
      <c r="U200" s="1" t="str">
        <f>IF(VLOOKUP($C200,Intermediate!$C$2:$R$208,3,FALSE)=E200, "", IF(E200="x","+", "-"))</f>
        <v/>
      </c>
      <c r="V200" s="1" t="str">
        <f>IF(VLOOKUP($C200,Intermediate!$C$2:$R$208,4,FALSE)=F200, "", IF(F200="x","+", "-"))</f>
        <v/>
      </c>
      <c r="W200" s="1" t="str">
        <f>IF(VLOOKUP($C200,Intermediate!$C$2:$R$208,5,FALSE)=G200, "", IF(G200="x","+", "-"))</f>
        <v/>
      </c>
      <c r="X200" s="1" t="str">
        <f>IF(VLOOKUP($C200,Intermediate!$C$2:$R$208,6,FALSE)=H200, "", IF(H200="x","+", "-"))</f>
        <v/>
      </c>
      <c r="Y200" s="1" t="str">
        <f>IF(VLOOKUP($C200,Intermediate!$C$2:$R$208,7,FALSE)=I200, "", IF(I200="x","+", "-"))</f>
        <v/>
      </c>
      <c r="Z200" s="1" t="str">
        <f>IF(VLOOKUP($C200,Intermediate!$C$2:$R$208,8,FALSE)=J200, "", IF(J200="x","+", "-"))</f>
        <v/>
      </c>
      <c r="AA200" s="1" t="str">
        <f>IF(VLOOKUP($C200,Intermediate!$C$2:$R$208,9,FALSE)=K200, "", IF(K200="x","+", "-"))</f>
        <v/>
      </c>
      <c r="AB200" s="1" t="str">
        <f>IF(VLOOKUP($C200,Intermediate!$C$2:$R$208,10,FALSE)=L200, "", IF(L200="x","+", "-"))</f>
        <v/>
      </c>
      <c r="AC200" s="1" t="str">
        <f>IF(VLOOKUP($C200,Intermediate!$C$2:$R$208,11,FALSE)=M200, "", IF(M200="x","+", "-"))</f>
        <v/>
      </c>
      <c r="AD200" s="1" t="str">
        <f>IF(VLOOKUP($C200,Intermediate!$C$2:$R$208,12,FALSE)=N200, "", IF(N200="x","+", "-"))</f>
        <v/>
      </c>
      <c r="AE200" s="1" t="str">
        <f>IF(VLOOKUP($C200,Intermediate!$C$2:$R$208,13,FALSE)=O200, "", IF(O200="x","+", "-"))</f>
        <v/>
      </c>
      <c r="AF200" s="1" t="str">
        <f>IF(VLOOKUP($C200,Intermediate!$C$2:$R$208,14,FALSE)=P200, "", IF(P200="x","+", "-"))</f>
        <v/>
      </c>
      <c r="AG200" s="1" t="str">
        <f>IF(VLOOKUP($C200,Intermediate!$C$2:$R$208,15,FALSE)=Q200, "", IF(Q200="x","+", "-"))</f>
        <v/>
      </c>
      <c r="AH200" s="1" t="str">
        <f>IF(VLOOKUP($C200,Intermediate!$C$2:$R$208,16,FALSE)=R200, "", IF(R200="x","+", "-"))</f>
        <v/>
      </c>
    </row>
    <row r="201" spans="1:34" ht="15" customHeight="1" x14ac:dyDescent="0.2">
      <c r="A201" s="7" t="s">
        <v>207</v>
      </c>
      <c r="B201" s="7" t="s">
        <v>36</v>
      </c>
      <c r="C201" s="9" t="str">
        <f t="shared" si="3"/>
        <v>VU Industrial Internship</v>
      </c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"/>
      <c r="T201" s="1" t="str">
        <f>IF(VLOOKUP($C201,Intermediate!$C$2:$R$208,2,FALSE)=D201, "", IF(D201="x","+", "-"))</f>
        <v/>
      </c>
      <c r="U201" s="1" t="str">
        <f>IF(VLOOKUP($C201,Intermediate!$C$2:$R$208,3,FALSE)=E201, "", IF(E201="x","+", "-"))</f>
        <v/>
      </c>
      <c r="V201" s="1" t="str">
        <f>IF(VLOOKUP($C201,Intermediate!$C$2:$R$208,4,FALSE)=F201, "", IF(F201="x","+", "-"))</f>
        <v/>
      </c>
      <c r="W201" s="1" t="str">
        <f>IF(VLOOKUP($C201,Intermediate!$C$2:$R$208,5,FALSE)=G201, "", IF(G201="x","+", "-"))</f>
        <v/>
      </c>
      <c r="X201" s="1" t="str">
        <f>IF(VLOOKUP($C201,Intermediate!$C$2:$R$208,6,FALSE)=H201, "", IF(H201="x","+", "-"))</f>
        <v/>
      </c>
      <c r="Y201" s="1" t="str">
        <f>IF(VLOOKUP($C201,Intermediate!$C$2:$R$208,7,FALSE)=I201, "", IF(I201="x","+", "-"))</f>
        <v/>
      </c>
      <c r="Z201" s="1" t="str">
        <f>IF(VLOOKUP($C201,Intermediate!$C$2:$R$208,8,FALSE)=J201, "", IF(J201="x","+", "-"))</f>
        <v/>
      </c>
      <c r="AA201" s="1" t="str">
        <f>IF(VLOOKUP($C201,Intermediate!$C$2:$R$208,9,FALSE)=K201, "", IF(K201="x","+", "-"))</f>
        <v/>
      </c>
      <c r="AB201" s="1" t="str">
        <f>IF(VLOOKUP($C201,Intermediate!$C$2:$R$208,10,FALSE)=L201, "", IF(L201="x","+", "-"))</f>
        <v/>
      </c>
      <c r="AC201" s="1" t="str">
        <f>IF(VLOOKUP($C201,Intermediate!$C$2:$R$208,11,FALSE)=M201, "", IF(M201="x","+", "-"))</f>
        <v/>
      </c>
      <c r="AD201" s="1" t="str">
        <f>IF(VLOOKUP($C201,Intermediate!$C$2:$R$208,12,FALSE)=N201, "", IF(N201="x","+", "-"))</f>
        <v/>
      </c>
      <c r="AE201" s="1" t="str">
        <f>IF(VLOOKUP($C201,Intermediate!$C$2:$R$208,13,FALSE)=O201, "", IF(O201="x","+", "-"))</f>
        <v/>
      </c>
      <c r="AF201" s="1" t="str">
        <f>IF(VLOOKUP($C201,Intermediate!$C$2:$R$208,14,FALSE)=P201, "", IF(P201="x","+", "-"))</f>
        <v/>
      </c>
      <c r="AG201" s="1" t="str">
        <f>IF(VLOOKUP($C201,Intermediate!$C$2:$R$208,15,FALSE)=Q201, "", IF(Q201="x","+", "-"))</f>
        <v/>
      </c>
      <c r="AH201" s="1" t="str">
        <f>IF(VLOOKUP($C201,Intermediate!$C$2:$R$208,16,FALSE)=R201, "", IF(R201="x","+", "-"))</f>
        <v/>
      </c>
    </row>
    <row r="202" spans="1:34" ht="15" customHeight="1" x14ac:dyDescent="0.2">
      <c r="A202" s="7" t="s">
        <v>208</v>
      </c>
      <c r="B202" s="7" t="s">
        <v>36</v>
      </c>
      <c r="C202" s="9" t="str">
        <f t="shared" si="3"/>
        <v>VU Parallel Programming Practical</v>
      </c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3"/>
      <c r="R202" s="13"/>
      <c r="S202" s="7"/>
      <c r="T202" s="1" t="str">
        <f>IF(VLOOKUP($C202,Intermediate!$C$2:$R$208,2,FALSE)=D202, "", IF(D202="x","+", "-"))</f>
        <v/>
      </c>
      <c r="U202" s="1" t="str">
        <f>IF(VLOOKUP($C202,Intermediate!$C$2:$R$208,3,FALSE)=E202, "", IF(E202="x","+", "-"))</f>
        <v/>
      </c>
      <c r="V202" s="1" t="str">
        <f>IF(VLOOKUP($C202,Intermediate!$C$2:$R$208,4,FALSE)=F202, "", IF(F202="x","+", "-"))</f>
        <v/>
      </c>
      <c r="W202" s="1" t="str">
        <f>IF(VLOOKUP($C202,Intermediate!$C$2:$R$208,5,FALSE)=G202, "", IF(G202="x","+", "-"))</f>
        <v/>
      </c>
      <c r="X202" s="1" t="str">
        <f>IF(VLOOKUP($C202,Intermediate!$C$2:$R$208,6,FALSE)=H202, "", IF(H202="x","+", "-"))</f>
        <v/>
      </c>
      <c r="Y202" s="1" t="str">
        <f>IF(VLOOKUP($C202,Intermediate!$C$2:$R$208,7,FALSE)=I202, "", IF(I202="x","+", "-"))</f>
        <v/>
      </c>
      <c r="Z202" s="1" t="str">
        <f>IF(VLOOKUP($C202,Intermediate!$C$2:$R$208,8,FALSE)=J202, "", IF(J202="x","+", "-"))</f>
        <v/>
      </c>
      <c r="AA202" s="1" t="str">
        <f>IF(VLOOKUP($C202,Intermediate!$C$2:$R$208,9,FALSE)=K202, "", IF(K202="x","+", "-"))</f>
        <v/>
      </c>
      <c r="AB202" s="1" t="str">
        <f>IF(VLOOKUP($C202,Intermediate!$C$2:$R$208,10,FALSE)=L202, "", IF(L202="x","+", "-"))</f>
        <v/>
      </c>
      <c r="AC202" s="1" t="str">
        <f>IF(VLOOKUP($C202,Intermediate!$C$2:$R$208,11,FALSE)=M202, "", IF(M202="x","+", "-"))</f>
        <v/>
      </c>
      <c r="AD202" s="1" t="str">
        <f>IF(VLOOKUP($C202,Intermediate!$C$2:$R$208,12,FALSE)=N202, "", IF(N202="x","+", "-"))</f>
        <v/>
      </c>
      <c r="AE202" s="1" t="str">
        <f>IF(VLOOKUP($C202,Intermediate!$C$2:$R$208,13,FALSE)=O202, "", IF(O202="x","+", "-"))</f>
        <v/>
      </c>
      <c r="AF202" s="1" t="str">
        <f>IF(VLOOKUP($C202,Intermediate!$C$2:$R$208,14,FALSE)=P202, "", IF(P202="x","+", "-"))</f>
        <v/>
      </c>
      <c r="AG202" s="1" t="str">
        <f>IF(VLOOKUP($C202,Intermediate!$C$2:$R$208,15,FALSE)=Q202, "", IF(Q202="x","+", "-"))</f>
        <v/>
      </c>
      <c r="AH202" s="1" t="str">
        <f>IF(VLOOKUP($C202,Intermediate!$C$2:$R$208,16,FALSE)=R202, "", IF(R202="x","+", "-"))</f>
        <v/>
      </c>
    </row>
    <row r="203" spans="1:34" ht="15" customHeight="1" x14ac:dyDescent="0.2">
      <c r="A203" s="7" t="s">
        <v>209</v>
      </c>
      <c r="B203" s="7" t="s">
        <v>36</v>
      </c>
      <c r="C203" s="9" t="str">
        <f t="shared" si="3"/>
        <v>VU Programming Large-Scale Parallel Systems</v>
      </c>
      <c r="D203" s="10"/>
      <c r="E203" s="10"/>
      <c r="F203" s="10"/>
      <c r="G203" s="10" t="s">
        <v>19</v>
      </c>
      <c r="H203" s="10"/>
      <c r="I203" s="10"/>
      <c r="J203" s="10"/>
      <c r="K203" s="10"/>
      <c r="L203" s="10"/>
      <c r="M203" s="10"/>
      <c r="N203" s="10"/>
      <c r="O203" s="10"/>
      <c r="P203" s="10"/>
      <c r="Q203" s="14"/>
      <c r="R203" s="11"/>
      <c r="S203" s="7"/>
      <c r="T203" s="1" t="str">
        <f>IF(VLOOKUP($C203,Intermediate!$C$2:$R$208,2,FALSE)=D203, "", IF(D203="x","+", "-"))</f>
        <v/>
      </c>
      <c r="U203" s="1" t="str">
        <f>IF(VLOOKUP($C203,Intermediate!$C$2:$R$208,3,FALSE)=E203, "", IF(E203="x","+", "-"))</f>
        <v/>
      </c>
      <c r="V203" s="1" t="str">
        <f>IF(VLOOKUP($C203,Intermediate!$C$2:$R$208,4,FALSE)=F203, "", IF(F203="x","+", "-"))</f>
        <v/>
      </c>
      <c r="W203" s="1" t="str">
        <f>IF(VLOOKUP($C203,Intermediate!$C$2:$R$208,5,FALSE)=G203, "", IF(G203="x","+", "-"))</f>
        <v/>
      </c>
      <c r="X203" s="1" t="str">
        <f>IF(VLOOKUP($C203,Intermediate!$C$2:$R$208,6,FALSE)=H203, "", IF(H203="x","+", "-"))</f>
        <v/>
      </c>
      <c r="Y203" s="1" t="str">
        <f>IF(VLOOKUP($C203,Intermediate!$C$2:$R$208,7,FALSE)=I203, "", IF(I203="x","+", "-"))</f>
        <v/>
      </c>
      <c r="Z203" s="1" t="str">
        <f>IF(VLOOKUP($C203,Intermediate!$C$2:$R$208,8,FALSE)=J203, "", IF(J203="x","+", "-"))</f>
        <v/>
      </c>
      <c r="AA203" s="1" t="str">
        <f>IF(VLOOKUP($C203,Intermediate!$C$2:$R$208,9,FALSE)=K203, "", IF(K203="x","+", "-"))</f>
        <v/>
      </c>
      <c r="AB203" s="1" t="str">
        <f>IF(VLOOKUP($C203,Intermediate!$C$2:$R$208,10,FALSE)=L203, "", IF(L203="x","+", "-"))</f>
        <v/>
      </c>
      <c r="AC203" s="1" t="str">
        <f>IF(VLOOKUP($C203,Intermediate!$C$2:$R$208,11,FALSE)=M203, "", IF(M203="x","+", "-"))</f>
        <v/>
      </c>
      <c r="AD203" s="1" t="str">
        <f>IF(VLOOKUP($C203,Intermediate!$C$2:$R$208,12,FALSE)=N203, "", IF(N203="x","+", "-"))</f>
        <v/>
      </c>
      <c r="AE203" s="1" t="str">
        <f>IF(VLOOKUP($C203,Intermediate!$C$2:$R$208,13,FALSE)=O203, "", IF(O203="x","+", "-"))</f>
        <v/>
      </c>
      <c r="AF203" s="1" t="str">
        <f>IF(VLOOKUP($C203,Intermediate!$C$2:$R$208,14,FALSE)=P203, "", IF(P203="x","+", "-"))</f>
        <v/>
      </c>
      <c r="AG203" s="1" t="str">
        <f>IF(VLOOKUP($C203,Intermediate!$C$2:$R$208,15,FALSE)=Q203, "", IF(Q203="x","+", "-"))</f>
        <v/>
      </c>
      <c r="AH203" s="1" t="str">
        <f>IF(VLOOKUP($C203,Intermediate!$C$2:$R$208,16,FALSE)=R203, "", IF(R203="x","+", "-"))</f>
        <v/>
      </c>
    </row>
    <row r="204" spans="1:34" ht="15" customHeight="1" x14ac:dyDescent="0.2">
      <c r="A204" s="7" t="s">
        <v>136</v>
      </c>
      <c r="B204" s="7" t="s">
        <v>36</v>
      </c>
      <c r="C204" s="9" t="str">
        <f t="shared" si="3"/>
        <v>VU Project Systems Testing</v>
      </c>
      <c r="D204" s="10"/>
      <c r="E204" s="10"/>
      <c r="F204" s="13"/>
      <c r="G204" s="10"/>
      <c r="H204" s="10" t="s">
        <v>19</v>
      </c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7"/>
      <c r="T204" s="1" t="str">
        <f>IF(VLOOKUP($C204,Intermediate!$C$2:$R$208,2,FALSE)=D204, "", IF(D204="x","+", "-"))</f>
        <v/>
      </c>
      <c r="U204" s="1" t="str">
        <f>IF(VLOOKUP($C204,Intermediate!$C$2:$R$208,3,FALSE)=E204, "", IF(E204="x","+", "-"))</f>
        <v/>
      </c>
      <c r="V204" s="1" t="str">
        <f>IF(VLOOKUP($C204,Intermediate!$C$2:$R$208,4,FALSE)=F204, "", IF(F204="x","+", "-"))</f>
        <v/>
      </c>
      <c r="W204" s="1" t="str">
        <f>IF(VLOOKUP($C204,Intermediate!$C$2:$R$208,5,FALSE)=G204, "", IF(G204="x","+", "-"))</f>
        <v/>
      </c>
      <c r="X204" s="1" t="str">
        <f>IF(VLOOKUP($C204,Intermediate!$C$2:$R$208,6,FALSE)=H204, "", IF(H204="x","+", "-"))</f>
        <v/>
      </c>
      <c r="Y204" s="1" t="str">
        <f>IF(VLOOKUP($C204,Intermediate!$C$2:$R$208,7,FALSE)=I204, "", IF(I204="x","+", "-"))</f>
        <v/>
      </c>
      <c r="Z204" s="1" t="str">
        <f>IF(VLOOKUP($C204,Intermediate!$C$2:$R$208,8,FALSE)=J204, "", IF(J204="x","+", "-"))</f>
        <v/>
      </c>
      <c r="AA204" s="1" t="str">
        <f>IF(VLOOKUP($C204,Intermediate!$C$2:$R$208,9,FALSE)=K204, "", IF(K204="x","+", "-"))</f>
        <v/>
      </c>
      <c r="AB204" s="1" t="str">
        <f>IF(VLOOKUP($C204,Intermediate!$C$2:$R$208,10,FALSE)=L204, "", IF(L204="x","+", "-"))</f>
        <v/>
      </c>
      <c r="AC204" s="1" t="str">
        <f>IF(VLOOKUP($C204,Intermediate!$C$2:$R$208,11,FALSE)=M204, "", IF(M204="x","+", "-"))</f>
        <v/>
      </c>
      <c r="AD204" s="1" t="str">
        <f>IF(VLOOKUP($C204,Intermediate!$C$2:$R$208,12,FALSE)=N204, "", IF(N204="x","+", "-"))</f>
        <v/>
      </c>
      <c r="AE204" s="1" t="str">
        <f>IF(VLOOKUP($C204,Intermediate!$C$2:$R$208,13,FALSE)=O204, "", IF(O204="x","+", "-"))</f>
        <v/>
      </c>
      <c r="AF204" s="1" t="str">
        <f>IF(VLOOKUP($C204,Intermediate!$C$2:$R$208,14,FALSE)=P204, "", IF(P204="x","+", "-"))</f>
        <v/>
      </c>
      <c r="AG204" s="1" t="str">
        <f>IF(VLOOKUP($C204,Intermediate!$C$2:$R$208,15,FALSE)=Q204, "", IF(Q204="x","+", "-"))</f>
        <v/>
      </c>
      <c r="AH204" s="1" t="str">
        <f>IF(VLOOKUP($C204,Intermediate!$C$2:$R$208,16,FALSE)=R204, "", IF(R204="x","+", "-"))</f>
        <v/>
      </c>
    </row>
    <row r="205" spans="1:34" ht="15" customHeight="1" x14ac:dyDescent="0.2">
      <c r="A205" s="7" t="s">
        <v>62</v>
      </c>
      <c r="B205" s="7" t="s">
        <v>36</v>
      </c>
      <c r="C205" s="9" t="str">
        <f t="shared" si="3"/>
        <v>VU Service Oriented Design</v>
      </c>
      <c r="D205" s="10" t="s">
        <v>19</v>
      </c>
      <c r="E205" s="10" t="s">
        <v>19</v>
      </c>
      <c r="F205" s="11" t="s">
        <v>19</v>
      </c>
      <c r="G205" s="10"/>
      <c r="H205" s="10"/>
      <c r="I205" s="10"/>
      <c r="J205" s="10"/>
      <c r="K205" s="10"/>
      <c r="L205" s="10" t="s">
        <v>19</v>
      </c>
      <c r="M205" s="10"/>
      <c r="N205" s="10" t="s">
        <v>19</v>
      </c>
      <c r="O205" s="10"/>
      <c r="P205" s="10"/>
      <c r="Q205" s="10"/>
      <c r="R205" s="10"/>
      <c r="S205" s="7"/>
      <c r="T205" s="1" t="str">
        <f>IF(VLOOKUP($C205,Intermediate!$C$2:$R$208,2,FALSE)=D205, "", IF(D205="x","+", "-"))</f>
        <v/>
      </c>
      <c r="U205" s="1" t="str">
        <f>IF(VLOOKUP($C205,Intermediate!$C$2:$R$208,3,FALSE)=E205, "", IF(E205="x","+", "-"))</f>
        <v/>
      </c>
      <c r="V205" s="1" t="str">
        <f>IF(VLOOKUP($C205,Intermediate!$C$2:$R$208,4,FALSE)=F205, "", IF(F205="x","+", "-"))</f>
        <v/>
      </c>
      <c r="W205" s="1" t="str">
        <f>IF(VLOOKUP($C205,Intermediate!$C$2:$R$208,5,FALSE)=G205, "", IF(G205="x","+", "-"))</f>
        <v/>
      </c>
      <c r="X205" s="1" t="str">
        <f>IF(VLOOKUP($C205,Intermediate!$C$2:$R$208,6,FALSE)=H205, "", IF(H205="x","+", "-"))</f>
        <v/>
      </c>
      <c r="Y205" s="1" t="str">
        <f>IF(VLOOKUP($C205,Intermediate!$C$2:$R$208,7,FALSE)=I205, "", IF(I205="x","+", "-"))</f>
        <v/>
      </c>
      <c r="Z205" s="1" t="str">
        <f>IF(VLOOKUP($C205,Intermediate!$C$2:$R$208,8,FALSE)=J205, "", IF(J205="x","+", "-"))</f>
        <v/>
      </c>
      <c r="AA205" s="1" t="str">
        <f>IF(VLOOKUP($C205,Intermediate!$C$2:$R$208,9,FALSE)=K205, "", IF(K205="x","+", "-"))</f>
        <v/>
      </c>
      <c r="AB205" s="1" t="str">
        <f>IF(VLOOKUP($C205,Intermediate!$C$2:$R$208,10,FALSE)=L205, "", IF(L205="x","+", "-"))</f>
        <v/>
      </c>
      <c r="AC205" s="1" t="str">
        <f>IF(VLOOKUP($C205,Intermediate!$C$2:$R$208,11,FALSE)=M205, "", IF(M205="x","+", "-"))</f>
        <v/>
      </c>
      <c r="AD205" s="1" t="str">
        <f>IF(VLOOKUP($C205,Intermediate!$C$2:$R$208,12,FALSE)=N205, "", IF(N205="x","+", "-"))</f>
        <v/>
      </c>
      <c r="AE205" s="1" t="str">
        <f>IF(VLOOKUP($C205,Intermediate!$C$2:$R$208,13,FALSE)=O205, "", IF(O205="x","+", "-"))</f>
        <v/>
      </c>
      <c r="AF205" s="1" t="str">
        <f>IF(VLOOKUP($C205,Intermediate!$C$2:$R$208,14,FALSE)=P205, "", IF(P205="x","+", "-"))</f>
        <v/>
      </c>
      <c r="AG205" s="1" t="str">
        <f>IF(VLOOKUP($C205,Intermediate!$C$2:$R$208,15,FALSE)=Q205, "", IF(Q205="x","+", "-"))</f>
        <v/>
      </c>
      <c r="AH205" s="1" t="str">
        <f>IF(VLOOKUP($C205,Intermediate!$C$2:$R$208,16,FALSE)=R205, "", IF(R205="x","+", "-"))</f>
        <v/>
      </c>
    </row>
    <row r="206" spans="1:34" ht="15" customHeight="1" x14ac:dyDescent="0.2">
      <c r="A206" s="7" t="s">
        <v>211</v>
      </c>
      <c r="B206" s="7" t="s">
        <v>36</v>
      </c>
      <c r="C206" s="9" t="str">
        <f t="shared" si="3"/>
        <v>VU Software Asset Management</v>
      </c>
      <c r="D206" s="10"/>
      <c r="E206" s="10"/>
      <c r="F206" s="13"/>
      <c r="G206" s="13"/>
      <c r="H206" s="10"/>
      <c r="I206" s="10"/>
      <c r="J206" s="10"/>
      <c r="K206" s="10"/>
      <c r="L206" s="10" t="s">
        <v>19</v>
      </c>
      <c r="M206" s="10"/>
      <c r="N206" s="10"/>
      <c r="O206" s="10"/>
      <c r="P206" s="10" t="s">
        <v>19</v>
      </c>
      <c r="Q206" s="10"/>
      <c r="R206" s="10"/>
      <c r="S206" s="1"/>
      <c r="T206" s="1" t="str">
        <f>IF(VLOOKUP($C206,Intermediate!$C$2:$R$208,2,FALSE)=D206, "", IF(D206="x","+", "-"))</f>
        <v/>
      </c>
      <c r="U206" s="1" t="str">
        <f>IF(VLOOKUP($C206,Intermediate!$C$2:$R$208,3,FALSE)=E206, "", IF(E206="x","+", "-"))</f>
        <v/>
      </c>
      <c r="V206" s="1" t="str">
        <f>IF(VLOOKUP($C206,Intermediate!$C$2:$R$208,4,FALSE)=F206, "", IF(F206="x","+", "-"))</f>
        <v/>
      </c>
      <c r="W206" s="1" t="str">
        <f>IF(VLOOKUP($C206,Intermediate!$C$2:$R$208,5,FALSE)=G206, "", IF(G206="x","+", "-"))</f>
        <v/>
      </c>
      <c r="X206" s="1" t="str">
        <f>IF(VLOOKUP($C206,Intermediate!$C$2:$R$208,6,FALSE)=H206, "", IF(H206="x","+", "-"))</f>
        <v/>
      </c>
      <c r="Y206" s="1" t="str">
        <f>IF(VLOOKUP($C206,Intermediate!$C$2:$R$208,7,FALSE)=I206, "", IF(I206="x","+", "-"))</f>
        <v/>
      </c>
      <c r="Z206" s="1" t="str">
        <f>IF(VLOOKUP($C206,Intermediate!$C$2:$R$208,8,FALSE)=J206, "", IF(J206="x","+", "-"))</f>
        <v/>
      </c>
      <c r="AA206" s="1" t="str">
        <f>IF(VLOOKUP($C206,Intermediate!$C$2:$R$208,9,FALSE)=K206, "", IF(K206="x","+", "-"))</f>
        <v/>
      </c>
      <c r="AB206" s="1" t="str">
        <f>IF(VLOOKUP($C206,Intermediate!$C$2:$R$208,10,FALSE)=L206, "", IF(L206="x","+", "-"))</f>
        <v>+</v>
      </c>
      <c r="AC206" s="1" t="str">
        <f>IF(VLOOKUP($C206,Intermediate!$C$2:$R$208,11,FALSE)=M206, "", IF(M206="x","+", "-"))</f>
        <v/>
      </c>
      <c r="AD206" s="1" t="str">
        <f>IF(VLOOKUP($C206,Intermediate!$C$2:$R$208,12,FALSE)=N206, "", IF(N206="x","+", "-"))</f>
        <v/>
      </c>
      <c r="AE206" s="1" t="str">
        <f>IF(VLOOKUP($C206,Intermediate!$C$2:$R$208,13,FALSE)=O206, "", IF(O206="x","+", "-"))</f>
        <v/>
      </c>
      <c r="AF206" s="1" t="str">
        <f>IF(VLOOKUP($C206,Intermediate!$C$2:$R$208,14,FALSE)=P206, "", IF(P206="x","+", "-"))</f>
        <v/>
      </c>
      <c r="AG206" s="1" t="str">
        <f>IF(VLOOKUP($C206,Intermediate!$C$2:$R$208,15,FALSE)=Q206, "", IF(Q206="x","+", "-"))</f>
        <v/>
      </c>
      <c r="AH206" s="1" t="str">
        <f>IF(VLOOKUP($C206,Intermediate!$C$2:$R$208,16,FALSE)=R206, "", IF(R206="x","+", "-"))</f>
        <v/>
      </c>
    </row>
    <row r="207" spans="1:34" ht="15" customHeight="1" x14ac:dyDescent="0.2">
      <c r="A207" s="7" t="s">
        <v>39</v>
      </c>
      <c r="B207" s="7" t="s">
        <v>36</v>
      </c>
      <c r="C207" s="9" t="str">
        <f t="shared" si="3"/>
        <v>VU Software Containerization</v>
      </c>
      <c r="D207" s="10"/>
      <c r="E207" s="10" t="s">
        <v>19</v>
      </c>
      <c r="F207" s="11" t="s">
        <v>19</v>
      </c>
      <c r="G207" s="11"/>
      <c r="H207" s="10"/>
      <c r="I207" s="10" t="s">
        <v>19</v>
      </c>
      <c r="J207" s="10" t="s">
        <v>19</v>
      </c>
      <c r="K207" s="10" t="s">
        <v>19</v>
      </c>
      <c r="L207" s="10"/>
      <c r="M207" s="10" t="s">
        <v>19</v>
      </c>
      <c r="N207" s="10"/>
      <c r="O207" s="10"/>
      <c r="P207" s="10"/>
      <c r="Q207" s="10"/>
      <c r="R207" s="10"/>
      <c r="S207" s="1"/>
      <c r="T207" s="1" t="str">
        <f>IF(VLOOKUP($C207,Intermediate!$C$2:$R$208,2,FALSE)=D207, "", IF(D207="x","+", "-"))</f>
        <v/>
      </c>
      <c r="U207" s="1" t="str">
        <f>IF(VLOOKUP($C207,Intermediate!$C$2:$R$208,3,FALSE)=E207, "", IF(E207="x","+", "-"))</f>
        <v/>
      </c>
      <c r="V207" s="1" t="str">
        <f>IF(VLOOKUP($C207,Intermediate!$C$2:$R$208,4,FALSE)=F207, "", IF(F207="x","+", "-"))</f>
        <v/>
      </c>
      <c r="W207" s="1" t="str">
        <f>IF(VLOOKUP($C207,Intermediate!$C$2:$R$208,5,FALSE)=G207, "", IF(G207="x","+", "-"))</f>
        <v/>
      </c>
      <c r="X207" s="1" t="str">
        <f>IF(VLOOKUP($C207,Intermediate!$C$2:$R$208,6,FALSE)=H207, "", IF(H207="x","+", "-"))</f>
        <v/>
      </c>
      <c r="Y207" s="1" t="str">
        <f>IF(VLOOKUP($C207,Intermediate!$C$2:$R$208,7,FALSE)=I207, "", IF(I207="x","+", "-"))</f>
        <v/>
      </c>
      <c r="Z207" s="1" t="str">
        <f>IF(VLOOKUP($C207,Intermediate!$C$2:$R$208,8,FALSE)=J207, "", IF(J207="x","+", "-"))</f>
        <v/>
      </c>
      <c r="AA207" s="1" t="str">
        <f>IF(VLOOKUP($C207,Intermediate!$C$2:$R$208,9,FALSE)=K207, "", IF(K207="x","+", "-"))</f>
        <v/>
      </c>
      <c r="AB207" s="1" t="str">
        <f>IF(VLOOKUP($C207,Intermediate!$C$2:$R$208,10,FALSE)=L207, "", IF(L207="x","+", "-"))</f>
        <v/>
      </c>
      <c r="AC207" s="1" t="str">
        <f>IF(VLOOKUP($C207,Intermediate!$C$2:$R$208,11,FALSE)=M207, "", IF(M207="x","+", "-"))</f>
        <v/>
      </c>
      <c r="AD207" s="1" t="str">
        <f>IF(VLOOKUP($C207,Intermediate!$C$2:$R$208,12,FALSE)=N207, "", IF(N207="x","+", "-"))</f>
        <v/>
      </c>
      <c r="AE207" s="1" t="str">
        <f>IF(VLOOKUP($C207,Intermediate!$C$2:$R$208,13,FALSE)=O207, "", IF(O207="x","+", "-"))</f>
        <v/>
      </c>
      <c r="AF207" s="1" t="str">
        <f>IF(VLOOKUP($C207,Intermediate!$C$2:$R$208,14,FALSE)=P207, "", IF(P207="x","+", "-"))</f>
        <v/>
      </c>
      <c r="AG207" s="1" t="str">
        <f>IF(VLOOKUP($C207,Intermediate!$C$2:$R$208,15,FALSE)=Q207, "", IF(Q207="x","+", "-"))</f>
        <v/>
      </c>
      <c r="AH207" s="1" t="str">
        <f>IF(VLOOKUP($C207,Intermediate!$C$2:$R$208,16,FALSE)=R207, "", IF(R207="x","+", "-"))</f>
        <v/>
      </c>
    </row>
    <row r="208" spans="1:34" ht="15" customHeight="1" x14ac:dyDescent="0.2">
      <c r="A208" s="7" t="s">
        <v>138</v>
      </c>
      <c r="B208" s="7" t="s">
        <v>36</v>
      </c>
      <c r="C208" s="9" t="str">
        <f t="shared" si="3"/>
        <v>VU Software Testing</v>
      </c>
      <c r="D208" s="11"/>
      <c r="E208" s="10"/>
      <c r="F208" s="11"/>
      <c r="G208" s="10"/>
      <c r="H208" s="10" t="s">
        <v>19</v>
      </c>
      <c r="I208" s="11"/>
      <c r="J208" s="10"/>
      <c r="K208" s="10"/>
      <c r="L208" s="10"/>
      <c r="M208" s="11"/>
      <c r="N208" s="11"/>
      <c r="O208" s="10"/>
      <c r="P208" s="10"/>
      <c r="Q208" s="11"/>
      <c r="R208" s="10"/>
      <c r="S208" s="1"/>
      <c r="T208" s="1" t="str">
        <f>IF(VLOOKUP($C208,Intermediate!$C$2:$R$208,2,FALSE)=D208, "", IF(D208="x","+", "-"))</f>
        <v/>
      </c>
      <c r="U208" s="1" t="str">
        <f>IF(VLOOKUP($C208,Intermediate!$C$2:$R$208,3,FALSE)=E208, "", IF(E208="x","+", "-"))</f>
        <v/>
      </c>
      <c r="V208" s="1" t="str">
        <f>IF(VLOOKUP($C208,Intermediate!$C$2:$R$208,4,FALSE)=F208, "", IF(F208="x","+", "-"))</f>
        <v/>
      </c>
      <c r="W208" s="1" t="str">
        <f>IF(VLOOKUP($C208,Intermediate!$C$2:$R$208,5,FALSE)=G208, "", IF(G208="x","+", "-"))</f>
        <v/>
      </c>
      <c r="X208" s="1" t="str">
        <f>IF(VLOOKUP($C208,Intermediate!$C$2:$R$208,6,FALSE)=H208, "", IF(H208="x","+", "-"))</f>
        <v/>
      </c>
      <c r="Y208" s="1" t="str">
        <f>IF(VLOOKUP($C208,Intermediate!$C$2:$R$208,7,FALSE)=I208, "", IF(I208="x","+", "-"))</f>
        <v/>
      </c>
      <c r="Z208" s="1" t="str">
        <f>IF(VLOOKUP($C208,Intermediate!$C$2:$R$208,8,FALSE)=J208, "", IF(J208="x","+", "-"))</f>
        <v/>
      </c>
      <c r="AA208" s="1" t="str">
        <f>IF(VLOOKUP($C208,Intermediate!$C$2:$R$208,9,FALSE)=K208, "", IF(K208="x","+", "-"))</f>
        <v/>
      </c>
      <c r="AB208" s="1" t="str">
        <f>IF(VLOOKUP($C208,Intermediate!$C$2:$R$208,10,FALSE)=L208, "", IF(L208="x","+", "-"))</f>
        <v/>
      </c>
      <c r="AC208" s="1" t="str">
        <f>IF(VLOOKUP($C208,Intermediate!$C$2:$R$208,11,FALSE)=M208, "", IF(M208="x","+", "-"))</f>
        <v/>
      </c>
      <c r="AD208" s="1" t="str">
        <f>IF(VLOOKUP($C208,Intermediate!$C$2:$R$208,12,FALSE)=N208, "", IF(N208="x","+", "-"))</f>
        <v/>
      </c>
      <c r="AE208" s="1" t="str">
        <f>IF(VLOOKUP($C208,Intermediate!$C$2:$R$208,13,FALSE)=O208, "", IF(O208="x","+", "-"))</f>
        <v/>
      </c>
      <c r="AF208" s="1" t="str">
        <f>IF(VLOOKUP($C208,Intermediate!$C$2:$R$208,14,FALSE)=P208, "", IF(P208="x","+", "-"))</f>
        <v/>
      </c>
      <c r="AG208" s="1" t="str">
        <f>IF(VLOOKUP($C208,Intermediate!$C$2:$R$208,15,FALSE)=Q208, "", IF(Q208="x","+", "-"))</f>
        <v>-</v>
      </c>
      <c r="AH208" s="1" t="str">
        <f>IF(VLOOKUP($C208,Intermediate!$C$2:$R$208,16,FALSE)=R208, "", IF(R208="x","+", "-"))</f>
        <v/>
      </c>
    </row>
    <row r="209" spans="1:34" ht="15" customHeight="1" x14ac:dyDescent="0.2">
      <c r="A209" s="8"/>
      <c r="B209" s="8"/>
      <c r="C209" s="9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1"/>
      <c r="T209" s="1"/>
      <c r="U209" s="1"/>
    </row>
    <row r="210" spans="1:34" ht="15" customHeight="1" x14ac:dyDescent="0.2">
      <c r="A210" s="8"/>
      <c r="B210" s="8"/>
      <c r="C210" s="9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1" t="s">
        <v>215</v>
      </c>
      <c r="T210" s="1">
        <f>COUNTIF(T2:T208, "+")</f>
        <v>0</v>
      </c>
      <c r="U210" s="1">
        <f t="shared" ref="U210:AH210" si="4">COUNTIF(U2:U208, "+")</f>
        <v>0</v>
      </c>
      <c r="V210" s="1">
        <f t="shared" si="4"/>
        <v>0</v>
      </c>
      <c r="W210" s="1">
        <f t="shared" si="4"/>
        <v>0</v>
      </c>
      <c r="X210" s="1">
        <f t="shared" si="4"/>
        <v>0</v>
      </c>
      <c r="Y210" s="1">
        <f t="shared" si="4"/>
        <v>0</v>
      </c>
      <c r="Z210" s="1">
        <f t="shared" si="4"/>
        <v>0</v>
      </c>
      <c r="AA210" s="1">
        <f t="shared" si="4"/>
        <v>0</v>
      </c>
      <c r="AB210" s="1">
        <f t="shared" si="4"/>
        <v>1</v>
      </c>
      <c r="AC210" s="1">
        <f t="shared" si="4"/>
        <v>0</v>
      </c>
      <c r="AD210" s="1">
        <f t="shared" si="4"/>
        <v>0</v>
      </c>
      <c r="AE210" s="1">
        <f t="shared" si="4"/>
        <v>0</v>
      </c>
      <c r="AF210" s="1">
        <f t="shared" si="4"/>
        <v>0</v>
      </c>
      <c r="AG210" s="1">
        <f t="shared" si="4"/>
        <v>0</v>
      </c>
      <c r="AH210" s="1">
        <f t="shared" si="4"/>
        <v>0</v>
      </c>
    </row>
    <row r="211" spans="1:34" ht="15" customHeight="1" x14ac:dyDescent="0.2">
      <c r="A211" s="8"/>
      <c r="B211" s="8"/>
      <c r="C211" s="9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1" t="s">
        <v>216</v>
      </c>
      <c r="T211" s="1">
        <f>COUNTIF(T2:T208, "-")</f>
        <v>0</v>
      </c>
      <c r="U211" s="1">
        <f t="shared" ref="U211:AH211" si="5">COUNTIF(U2:U208, "-")</f>
        <v>0</v>
      </c>
      <c r="V211" s="1">
        <f t="shared" si="5"/>
        <v>0</v>
      </c>
      <c r="W211" s="1">
        <f t="shared" si="5"/>
        <v>0</v>
      </c>
      <c r="X211" s="1">
        <f t="shared" si="5"/>
        <v>0</v>
      </c>
      <c r="Y211" s="1">
        <f t="shared" si="5"/>
        <v>1</v>
      </c>
      <c r="Z211" s="1">
        <f t="shared" si="5"/>
        <v>0</v>
      </c>
      <c r="AA211" s="1">
        <f t="shared" si="5"/>
        <v>0</v>
      </c>
      <c r="AB211" s="1">
        <f t="shared" si="5"/>
        <v>0</v>
      </c>
      <c r="AC211" s="1">
        <f t="shared" si="5"/>
        <v>0</v>
      </c>
      <c r="AD211" s="1">
        <f t="shared" si="5"/>
        <v>0</v>
      </c>
      <c r="AE211" s="1">
        <f t="shared" si="5"/>
        <v>0</v>
      </c>
      <c r="AF211" s="1">
        <f t="shared" si="5"/>
        <v>0</v>
      </c>
      <c r="AG211" s="1">
        <f t="shared" si="5"/>
        <v>1</v>
      </c>
      <c r="AH211" s="1">
        <f t="shared" si="5"/>
        <v>0</v>
      </c>
    </row>
    <row r="212" spans="1:34" ht="15" customHeight="1" x14ac:dyDescent="0.2">
      <c r="A212" s="8"/>
      <c r="B212" s="8"/>
      <c r="C212" s="9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1"/>
      <c r="T212" s="1"/>
      <c r="U212" s="1"/>
    </row>
    <row r="213" spans="1:34" ht="15" customHeight="1" x14ac:dyDescent="0.2">
      <c r="A213" s="8"/>
      <c r="B213" s="8"/>
      <c r="C213" s="9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1"/>
      <c r="T213" s="1"/>
      <c r="U213" s="1"/>
    </row>
    <row r="214" spans="1:34" ht="15" customHeight="1" x14ac:dyDescent="0.2">
      <c r="A214" s="8"/>
      <c r="B214" s="8"/>
      <c r="C214" s="9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1"/>
      <c r="T214" s="1"/>
      <c r="U214" s="1"/>
    </row>
    <row r="215" spans="1:34" ht="15" customHeight="1" x14ac:dyDescent="0.2">
      <c r="A215" s="8"/>
      <c r="B215" s="8"/>
      <c r="C215" s="9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1"/>
      <c r="T215" s="1"/>
      <c r="U215" s="1"/>
    </row>
    <row r="216" spans="1:34" ht="15" customHeight="1" x14ac:dyDescent="0.2">
      <c r="A216" s="8"/>
      <c r="B216" s="8"/>
      <c r="C216" s="9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1"/>
      <c r="T216" s="1"/>
      <c r="U216" s="1"/>
    </row>
    <row r="217" spans="1:34" ht="15" customHeight="1" x14ac:dyDescent="0.2">
      <c r="A217" s="8"/>
      <c r="B217" s="8"/>
      <c r="C217" s="9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1"/>
      <c r="T217" s="1"/>
      <c r="U217" s="1"/>
    </row>
    <row r="218" spans="1:34" ht="15" customHeight="1" x14ac:dyDescent="0.2">
      <c r="A218" s="8"/>
      <c r="B218" s="8"/>
      <c r="C218" s="9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1"/>
      <c r="T218" s="1"/>
      <c r="U218" s="1"/>
    </row>
    <row r="219" spans="1:34" ht="15" customHeight="1" x14ac:dyDescent="0.2">
      <c r="A219" s="8"/>
      <c r="B219" s="8"/>
      <c r="C219" s="9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1"/>
      <c r="T219" s="1"/>
      <c r="U219" s="1"/>
    </row>
    <row r="220" spans="1:34" ht="15" customHeight="1" x14ac:dyDescent="0.2">
      <c r="A220" s="8"/>
      <c r="B220" s="8"/>
      <c r="C220" s="9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1"/>
      <c r="T220" s="1"/>
      <c r="U220" s="1"/>
    </row>
    <row r="221" spans="1:34" ht="15" customHeight="1" x14ac:dyDescent="0.2">
      <c r="A221" s="8"/>
      <c r="B221" s="8"/>
      <c r="C221" s="9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1"/>
      <c r="T221" s="1"/>
      <c r="U221" s="1"/>
    </row>
    <row r="222" spans="1:34" ht="15" customHeight="1" x14ac:dyDescent="0.2">
      <c r="A222" s="8"/>
      <c r="B222" s="8"/>
      <c r="C222" s="9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1"/>
      <c r="T222" s="1"/>
      <c r="U222" s="1"/>
    </row>
    <row r="223" spans="1:34" ht="15" customHeight="1" x14ac:dyDescent="0.2">
      <c r="A223" s="8"/>
      <c r="B223" s="8"/>
      <c r="C223" s="9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1"/>
      <c r="T223" s="1"/>
      <c r="U223" s="1"/>
    </row>
    <row r="224" spans="1:34" ht="15" customHeight="1" x14ac:dyDescent="0.2">
      <c r="A224" s="1"/>
      <c r="B224" s="1"/>
      <c r="C224" s="6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1"/>
      <c r="T224" s="1"/>
      <c r="U224" s="1"/>
    </row>
    <row r="225" spans="1:21" ht="15" customHeight="1" x14ac:dyDescent="0.2">
      <c r="A225" s="1"/>
      <c r="B225" s="1"/>
      <c r="C225" s="6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1"/>
      <c r="T225" s="1"/>
      <c r="U225" s="1"/>
    </row>
    <row r="226" spans="1:21" ht="15" customHeight="1" x14ac:dyDescent="0.2">
      <c r="A226" s="1"/>
      <c r="B226" s="1"/>
      <c r="C226" s="6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1"/>
      <c r="T226" s="1"/>
      <c r="U226" s="1"/>
    </row>
    <row r="227" spans="1:21" ht="15" customHeight="1" x14ac:dyDescent="0.2">
      <c r="A227" s="1"/>
      <c r="B227" s="1"/>
      <c r="C227" s="6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1"/>
      <c r="T227" s="1"/>
      <c r="U227" s="1"/>
    </row>
    <row r="228" spans="1:21" ht="15" customHeight="1" x14ac:dyDescent="0.2">
      <c r="A228" s="1"/>
      <c r="B228" s="1"/>
      <c r="C228" s="6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1"/>
      <c r="T228" s="1"/>
      <c r="U228" s="1"/>
    </row>
    <row r="229" spans="1:21" ht="15" customHeight="1" x14ac:dyDescent="0.2">
      <c r="A229" s="1"/>
      <c r="B229" s="1"/>
      <c r="C229" s="6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1"/>
      <c r="T229" s="1"/>
      <c r="U229" s="1"/>
    </row>
    <row r="230" spans="1:21" ht="15" customHeight="1" x14ac:dyDescent="0.2">
      <c r="A230" s="1"/>
      <c r="B230" s="1"/>
      <c r="C230" s="6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1"/>
      <c r="T230" s="1"/>
      <c r="U230" s="1"/>
    </row>
    <row r="231" spans="1:21" ht="15" customHeight="1" x14ac:dyDescent="0.2">
      <c r="A231" s="1"/>
      <c r="B231" s="1"/>
      <c r="C231" s="6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1"/>
      <c r="T231" s="1"/>
      <c r="U231" s="1"/>
    </row>
    <row r="232" spans="1:21" ht="15" customHeight="1" x14ac:dyDescent="0.2">
      <c r="A232" s="1"/>
      <c r="B232" s="1"/>
      <c r="C232" s="6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1"/>
      <c r="T232" s="1"/>
      <c r="U232" s="1"/>
    </row>
    <row r="233" spans="1:21" ht="15" customHeight="1" x14ac:dyDescent="0.2">
      <c r="A233" s="1"/>
      <c r="B233" s="1"/>
      <c r="C233" s="6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1"/>
      <c r="T233" s="1"/>
      <c r="U233" s="1"/>
    </row>
    <row r="234" spans="1:21" ht="15" customHeight="1" x14ac:dyDescent="0.2">
      <c r="A234" s="1"/>
      <c r="B234" s="1"/>
      <c r="C234" s="6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1"/>
      <c r="T234" s="1"/>
      <c r="U234" s="1"/>
    </row>
    <row r="235" spans="1:21" ht="15" customHeight="1" x14ac:dyDescent="0.2">
      <c r="A235" s="1"/>
      <c r="B235" s="1"/>
      <c r="C235" s="6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1"/>
      <c r="T235" s="1"/>
      <c r="U235" s="1"/>
    </row>
    <row r="236" spans="1:21" ht="15" customHeight="1" x14ac:dyDescent="0.2">
      <c r="A236" s="1"/>
      <c r="B236" s="1"/>
      <c r="C236" s="6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1"/>
      <c r="T236" s="1"/>
      <c r="U236" s="1"/>
    </row>
    <row r="237" spans="1:21" ht="15" customHeight="1" x14ac:dyDescent="0.2">
      <c r="A237" s="1"/>
      <c r="B237" s="1"/>
      <c r="C237" s="6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1"/>
      <c r="T237" s="1"/>
      <c r="U237" s="1"/>
    </row>
    <row r="238" spans="1:21" ht="15" customHeight="1" x14ac:dyDescent="0.2">
      <c r="A238" s="1"/>
      <c r="B238" s="1"/>
      <c r="C238" s="6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1"/>
      <c r="T238" s="1"/>
      <c r="U238" s="1"/>
    </row>
    <row r="239" spans="1:21" ht="15" customHeight="1" x14ac:dyDescent="0.2">
      <c r="A239" s="1"/>
      <c r="B239" s="1"/>
      <c r="C239" s="6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1"/>
      <c r="T239" s="1"/>
      <c r="U239" s="1"/>
    </row>
    <row r="240" spans="1:21" ht="15" customHeight="1" x14ac:dyDescent="0.2">
      <c r="A240" s="1"/>
      <c r="B240" s="1"/>
      <c r="C240" s="6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1"/>
      <c r="T240" s="1"/>
      <c r="U240" s="1"/>
    </row>
    <row r="241" spans="1:21" ht="15" customHeight="1" x14ac:dyDescent="0.2">
      <c r="A241" s="1"/>
      <c r="B241" s="1"/>
      <c r="C241" s="6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1"/>
      <c r="T241" s="1"/>
      <c r="U241" s="1"/>
    </row>
    <row r="242" spans="1:21" ht="15" customHeight="1" x14ac:dyDescent="0.2">
      <c r="A242" s="1"/>
      <c r="B242" s="1"/>
      <c r="C242" s="6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1"/>
      <c r="T242" s="1"/>
      <c r="U242" s="1"/>
    </row>
    <row r="243" spans="1:21" ht="15" customHeight="1" x14ac:dyDescent="0.2">
      <c r="A243" s="1"/>
      <c r="B243" s="1"/>
      <c r="C243" s="6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1"/>
      <c r="T243" s="1"/>
      <c r="U243" s="1"/>
    </row>
    <row r="244" spans="1:21" ht="15" customHeight="1" x14ac:dyDescent="0.2">
      <c r="A244" s="1"/>
      <c r="B244" s="1"/>
      <c r="C244" s="6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1"/>
      <c r="T244" s="1"/>
      <c r="U244" s="1"/>
    </row>
    <row r="245" spans="1:21" ht="15" customHeight="1" x14ac:dyDescent="0.2">
      <c r="A245" s="1"/>
      <c r="B245" s="1"/>
      <c r="C245" s="6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1"/>
      <c r="T245" s="1"/>
      <c r="U245" s="1"/>
    </row>
    <row r="246" spans="1:21" ht="15" customHeight="1" x14ac:dyDescent="0.2">
      <c r="A246" s="1"/>
      <c r="B246" s="1"/>
      <c r="C246" s="6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1"/>
      <c r="T246" s="1"/>
      <c r="U246" s="1"/>
    </row>
    <row r="247" spans="1:21" ht="15" customHeight="1" x14ac:dyDescent="0.2">
      <c r="A247" s="1"/>
      <c r="B247" s="1"/>
      <c r="C247" s="6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1"/>
      <c r="T247" s="1"/>
      <c r="U247" s="1"/>
    </row>
    <row r="248" spans="1:21" ht="15" customHeight="1" x14ac:dyDescent="0.2">
      <c r="A248" s="1"/>
      <c r="B248" s="1"/>
      <c r="C248" s="6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1"/>
      <c r="T248" s="1"/>
      <c r="U248" s="1"/>
    </row>
    <row r="249" spans="1:21" ht="15" customHeight="1" x14ac:dyDescent="0.2">
      <c r="A249" s="1"/>
      <c r="B249" s="1"/>
      <c r="C249" s="6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1"/>
      <c r="T249" s="1"/>
      <c r="U249" s="1"/>
    </row>
    <row r="250" spans="1:21" ht="15" customHeight="1" x14ac:dyDescent="0.2">
      <c r="A250" s="1"/>
      <c r="B250" s="1"/>
      <c r="C250" s="6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1"/>
      <c r="T250" s="1"/>
      <c r="U250" s="1"/>
    </row>
    <row r="251" spans="1:21" ht="15" customHeight="1" x14ac:dyDescent="0.2">
      <c r="A251" s="1"/>
      <c r="B251" s="1"/>
      <c r="C251" s="6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1"/>
      <c r="T251" s="1"/>
      <c r="U251" s="1"/>
    </row>
    <row r="252" spans="1:21" ht="15" customHeight="1" x14ac:dyDescent="0.2">
      <c r="A252" s="1"/>
      <c r="B252" s="1"/>
      <c r="C252" s="6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1"/>
      <c r="T252" s="1"/>
      <c r="U252" s="1"/>
    </row>
    <row r="253" spans="1:21" ht="15" customHeight="1" x14ac:dyDescent="0.2">
      <c r="A253" s="1"/>
      <c r="B253" s="1"/>
      <c r="C253" s="6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1"/>
      <c r="T253" s="1"/>
      <c r="U253" s="1"/>
    </row>
    <row r="254" spans="1:21" ht="15" customHeight="1" x14ac:dyDescent="0.2">
      <c r="A254" s="1"/>
      <c r="B254" s="1"/>
      <c r="C254" s="6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1"/>
      <c r="T254" s="1"/>
      <c r="U254" s="1"/>
    </row>
    <row r="255" spans="1:21" ht="15" customHeight="1" x14ac:dyDescent="0.2">
      <c r="A255" s="1"/>
      <c r="B255" s="1"/>
      <c r="C255" s="6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1"/>
      <c r="T255" s="1"/>
      <c r="U255" s="1"/>
    </row>
    <row r="256" spans="1:21" ht="15" customHeight="1" x14ac:dyDescent="0.2">
      <c r="A256" s="1"/>
      <c r="B256" s="1"/>
      <c r="C256" s="6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1"/>
      <c r="T256" s="1"/>
      <c r="U256" s="1"/>
    </row>
    <row r="257" spans="1:21" ht="15" customHeight="1" x14ac:dyDescent="0.2">
      <c r="A257" s="1"/>
      <c r="B257" s="1"/>
      <c r="C257" s="6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1"/>
      <c r="T257" s="1"/>
      <c r="U257" s="1"/>
    </row>
    <row r="258" spans="1:21" ht="15" customHeight="1" x14ac:dyDescent="0.2">
      <c r="A258" s="1"/>
      <c r="B258" s="1"/>
      <c r="C258" s="6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1"/>
      <c r="T258" s="1"/>
      <c r="U258" s="1"/>
    </row>
    <row r="259" spans="1:21" ht="15" customHeight="1" x14ac:dyDescent="0.2">
      <c r="A259" s="1"/>
      <c r="B259" s="1"/>
      <c r="C259" s="6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1"/>
      <c r="T259" s="1"/>
      <c r="U259" s="1"/>
    </row>
    <row r="260" spans="1:21" ht="15" customHeight="1" x14ac:dyDescent="0.2">
      <c r="A260" s="1"/>
      <c r="B260" s="1"/>
      <c r="C260" s="6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1"/>
      <c r="T260" s="1"/>
      <c r="U260" s="1"/>
    </row>
    <row r="261" spans="1:21" ht="15" customHeight="1" x14ac:dyDescent="0.2">
      <c r="A261" s="1"/>
      <c r="B261" s="1"/>
      <c r="C261" s="6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1"/>
      <c r="T261" s="1"/>
      <c r="U261" s="1"/>
    </row>
    <row r="262" spans="1:21" ht="15" customHeight="1" x14ac:dyDescent="0.2">
      <c r="A262" s="1"/>
      <c r="B262" s="1"/>
      <c r="C262" s="6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1"/>
      <c r="T262" s="1"/>
      <c r="U262" s="1"/>
    </row>
    <row r="263" spans="1:21" ht="15" customHeight="1" x14ac:dyDescent="0.2">
      <c r="A263" s="1"/>
      <c r="B263" s="1"/>
      <c r="C263" s="6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1"/>
      <c r="T263" s="1"/>
      <c r="U263" s="1"/>
    </row>
    <row r="264" spans="1:21" ht="15" customHeight="1" x14ac:dyDescent="0.2">
      <c r="A264" s="1"/>
      <c r="B264" s="1"/>
      <c r="C264" s="6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1"/>
      <c r="T264" s="1"/>
      <c r="U264" s="1"/>
    </row>
    <row r="265" spans="1:21" ht="15" customHeight="1" x14ac:dyDescent="0.2">
      <c r="A265" s="1"/>
      <c r="B265" s="1"/>
      <c r="C265" s="6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1"/>
      <c r="T265" s="1"/>
      <c r="U265" s="1"/>
    </row>
    <row r="266" spans="1:21" ht="15" customHeight="1" x14ac:dyDescent="0.2">
      <c r="A266" s="1"/>
      <c r="B266" s="1"/>
      <c r="C266" s="6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1"/>
      <c r="T266" s="1"/>
      <c r="U266" s="1"/>
    </row>
    <row r="267" spans="1:21" ht="15" customHeight="1" x14ac:dyDescent="0.2">
      <c r="A267" s="1"/>
      <c r="B267" s="1"/>
      <c r="C267" s="6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1"/>
      <c r="T267" s="1"/>
      <c r="U267" s="1"/>
    </row>
    <row r="268" spans="1:21" ht="15" customHeight="1" x14ac:dyDescent="0.2">
      <c r="A268" s="1"/>
      <c r="B268" s="1"/>
      <c r="C268" s="6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1"/>
      <c r="T268" s="1"/>
      <c r="U268" s="1"/>
    </row>
    <row r="269" spans="1:21" ht="15" customHeight="1" x14ac:dyDescent="0.2">
      <c r="A269" s="1"/>
      <c r="B269" s="1"/>
      <c r="C269" s="6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1"/>
      <c r="T269" s="1"/>
      <c r="U269" s="1"/>
    </row>
    <row r="270" spans="1:21" ht="15" customHeight="1" x14ac:dyDescent="0.2">
      <c r="A270" s="1"/>
      <c r="B270" s="1"/>
      <c r="C270" s="6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1"/>
      <c r="T270" s="1"/>
      <c r="U270" s="1"/>
    </row>
    <row r="271" spans="1:21" ht="15" customHeight="1" x14ac:dyDescent="0.2">
      <c r="A271" s="1"/>
      <c r="B271" s="1"/>
      <c r="C271" s="6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1"/>
      <c r="T271" s="1"/>
      <c r="U271" s="1"/>
    </row>
    <row r="272" spans="1:21" ht="15" customHeight="1" x14ac:dyDescent="0.2">
      <c r="A272" s="1"/>
      <c r="B272" s="1"/>
      <c r="C272" s="6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1"/>
      <c r="T272" s="1"/>
      <c r="U272" s="1"/>
    </row>
    <row r="273" spans="1:21" ht="15" customHeight="1" x14ac:dyDescent="0.2">
      <c r="A273" s="1"/>
      <c r="B273" s="1"/>
      <c r="C273" s="6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1"/>
      <c r="T273" s="1"/>
      <c r="U273" s="1"/>
    </row>
    <row r="274" spans="1:21" ht="15" customHeight="1" x14ac:dyDescent="0.2">
      <c r="A274" s="1"/>
      <c r="B274" s="1"/>
      <c r="C274" s="6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1"/>
      <c r="T274" s="1"/>
      <c r="U274" s="1"/>
    </row>
    <row r="275" spans="1:21" ht="15" customHeight="1" x14ac:dyDescent="0.2">
      <c r="A275" s="1"/>
      <c r="B275" s="1"/>
      <c r="C275" s="6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1"/>
      <c r="T275" s="1"/>
      <c r="U275" s="1"/>
    </row>
    <row r="276" spans="1:21" ht="15" customHeight="1" x14ac:dyDescent="0.2">
      <c r="A276" s="1"/>
      <c r="B276" s="1"/>
      <c r="C276" s="6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1"/>
      <c r="T276" s="1"/>
      <c r="U276" s="1"/>
    </row>
    <row r="277" spans="1:21" ht="15" customHeight="1" x14ac:dyDescent="0.2">
      <c r="A277" s="1"/>
      <c r="B277" s="1"/>
      <c r="C277" s="6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1"/>
      <c r="T277" s="1"/>
      <c r="U277" s="1"/>
    </row>
    <row r="278" spans="1:21" ht="15" customHeight="1" x14ac:dyDescent="0.2">
      <c r="A278" s="1"/>
      <c r="B278" s="1"/>
      <c r="C278" s="6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1"/>
      <c r="T278" s="1"/>
      <c r="U278" s="1"/>
    </row>
    <row r="279" spans="1:21" ht="15" customHeight="1" x14ac:dyDescent="0.2">
      <c r="A279" s="1"/>
      <c r="B279" s="1"/>
      <c r="C279" s="6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1"/>
      <c r="T279" s="1"/>
      <c r="U279" s="1"/>
    </row>
    <row r="280" spans="1:21" ht="15" customHeight="1" x14ac:dyDescent="0.2">
      <c r="A280" s="1"/>
      <c r="B280" s="1"/>
      <c r="C280" s="6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1"/>
      <c r="T280" s="1"/>
      <c r="U280" s="1"/>
    </row>
    <row r="281" spans="1:21" ht="15" customHeight="1" x14ac:dyDescent="0.2">
      <c r="A281" s="1"/>
      <c r="B281" s="1"/>
      <c r="C281" s="6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1"/>
      <c r="T281" s="1"/>
      <c r="U281" s="1"/>
    </row>
    <row r="282" spans="1:21" ht="15" customHeight="1" x14ac:dyDescent="0.2">
      <c r="A282" s="1"/>
      <c r="B282" s="1"/>
      <c r="C282" s="6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1"/>
      <c r="T282" s="1"/>
      <c r="U282" s="1"/>
    </row>
    <row r="283" spans="1:21" ht="15" customHeight="1" x14ac:dyDescent="0.2">
      <c r="A283" s="1"/>
      <c r="B283" s="1"/>
      <c r="C283" s="6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1"/>
      <c r="T283" s="1"/>
      <c r="U283" s="1"/>
    </row>
    <row r="284" spans="1:21" ht="15" customHeight="1" x14ac:dyDescent="0.2">
      <c r="A284" s="1"/>
      <c r="B284" s="1"/>
      <c r="C284" s="6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1"/>
      <c r="T284" s="1"/>
      <c r="U284" s="1"/>
    </row>
    <row r="285" spans="1:21" ht="15" customHeight="1" x14ac:dyDescent="0.2">
      <c r="A285" s="1"/>
      <c r="B285" s="1"/>
      <c r="C285" s="6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1"/>
      <c r="T285" s="1"/>
      <c r="U285" s="1"/>
    </row>
    <row r="286" spans="1:21" ht="15" customHeight="1" x14ac:dyDescent="0.2">
      <c r="A286" s="1"/>
      <c r="B286" s="1"/>
      <c r="C286" s="6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1"/>
      <c r="T286" s="1"/>
      <c r="U286" s="1"/>
    </row>
    <row r="287" spans="1:21" ht="15" customHeight="1" x14ac:dyDescent="0.2">
      <c r="A287" s="1"/>
      <c r="B287" s="1"/>
      <c r="C287" s="6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1"/>
      <c r="T287" s="1"/>
      <c r="U287" s="1"/>
    </row>
    <row r="288" spans="1:21" ht="15" customHeight="1" x14ac:dyDescent="0.2">
      <c r="A288" s="1"/>
      <c r="B288" s="1"/>
      <c r="C288" s="6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1"/>
      <c r="T288" s="1"/>
      <c r="U288" s="1"/>
    </row>
    <row r="289" spans="1:21" ht="15" customHeight="1" x14ac:dyDescent="0.2">
      <c r="A289" s="1"/>
      <c r="B289" s="1"/>
      <c r="C289" s="6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1"/>
      <c r="T289" s="1"/>
      <c r="U289" s="1"/>
    </row>
    <row r="290" spans="1:21" ht="15" customHeight="1" x14ac:dyDescent="0.2">
      <c r="A290" s="1"/>
      <c r="B290" s="1"/>
      <c r="C290" s="6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1"/>
      <c r="T290" s="1"/>
      <c r="U290" s="1"/>
    </row>
    <row r="291" spans="1:21" ht="15" customHeight="1" x14ac:dyDescent="0.2">
      <c r="A291" s="1"/>
      <c r="B291" s="1"/>
      <c r="C291" s="6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1"/>
      <c r="T291" s="1"/>
      <c r="U291" s="1"/>
    </row>
    <row r="292" spans="1:21" ht="15" customHeight="1" x14ac:dyDescent="0.2">
      <c r="A292" s="1"/>
      <c r="B292" s="1"/>
      <c r="C292" s="6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1"/>
      <c r="T292" s="1"/>
      <c r="U292" s="1"/>
    </row>
    <row r="293" spans="1:21" ht="15" customHeight="1" x14ac:dyDescent="0.2">
      <c r="A293" s="1"/>
      <c r="B293" s="1"/>
      <c r="C293" s="6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1"/>
      <c r="T293" s="1"/>
      <c r="U293" s="1"/>
    </row>
    <row r="294" spans="1:21" ht="15" customHeight="1" x14ac:dyDescent="0.2">
      <c r="A294" s="1"/>
      <c r="B294" s="1"/>
      <c r="C294" s="6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1"/>
      <c r="T294" s="1"/>
      <c r="U294" s="1"/>
    </row>
    <row r="295" spans="1:21" ht="15" customHeight="1" x14ac:dyDescent="0.2">
      <c r="A295" s="1"/>
      <c r="B295" s="1"/>
      <c r="C295" s="6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1"/>
      <c r="T295" s="1"/>
      <c r="U295" s="1"/>
    </row>
    <row r="296" spans="1:21" ht="15" customHeight="1" x14ac:dyDescent="0.2">
      <c r="A296" s="1"/>
      <c r="B296" s="1"/>
      <c r="C296" s="6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1"/>
      <c r="T296" s="1"/>
      <c r="U296" s="1"/>
    </row>
    <row r="297" spans="1:21" ht="15" customHeight="1" x14ac:dyDescent="0.2">
      <c r="A297" s="1"/>
      <c r="B297" s="1"/>
      <c r="C297" s="6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1"/>
      <c r="T297" s="1"/>
      <c r="U297" s="1"/>
    </row>
    <row r="298" spans="1:21" ht="15" customHeight="1" x14ac:dyDescent="0.2">
      <c r="A298" s="1"/>
      <c r="B298" s="1"/>
      <c r="C298" s="6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1"/>
      <c r="T298" s="1"/>
      <c r="U298" s="1"/>
    </row>
    <row r="299" spans="1:21" ht="15" customHeight="1" x14ac:dyDescent="0.2">
      <c r="A299" s="1"/>
      <c r="B299" s="1"/>
      <c r="C299" s="6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1"/>
      <c r="T299" s="1"/>
      <c r="U299" s="1"/>
    </row>
    <row r="300" spans="1:21" ht="15" customHeight="1" x14ac:dyDescent="0.2">
      <c r="A300" s="1"/>
      <c r="B300" s="1"/>
      <c r="C300" s="6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1"/>
      <c r="T300" s="1"/>
      <c r="U300" s="1"/>
    </row>
    <row r="301" spans="1:21" ht="15" customHeight="1" x14ac:dyDescent="0.2">
      <c r="A301" s="1"/>
      <c r="B301" s="1"/>
      <c r="C301" s="6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1"/>
      <c r="T301" s="1"/>
      <c r="U301" s="1"/>
    </row>
    <row r="302" spans="1:21" ht="15" customHeight="1" x14ac:dyDescent="0.2">
      <c r="A302" s="1"/>
      <c r="B302" s="1"/>
      <c r="C302" s="6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1"/>
      <c r="T302" s="1"/>
      <c r="U302" s="1"/>
    </row>
    <row r="303" spans="1:21" ht="15" customHeight="1" x14ac:dyDescent="0.2">
      <c r="A303" s="1"/>
      <c r="B303" s="1"/>
      <c r="C303" s="6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1"/>
      <c r="T303" s="1"/>
      <c r="U303" s="1"/>
    </row>
    <row r="304" spans="1:21" ht="15" customHeight="1" x14ac:dyDescent="0.2">
      <c r="A304" s="1"/>
      <c r="B304" s="1"/>
      <c r="C304" s="6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1"/>
      <c r="T304" s="1"/>
      <c r="U304" s="1"/>
    </row>
    <row r="305" spans="1:21" ht="15" customHeight="1" x14ac:dyDescent="0.2">
      <c r="A305" s="1"/>
      <c r="B305" s="1"/>
      <c r="C305" s="6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1"/>
      <c r="T305" s="1"/>
      <c r="U305" s="1"/>
    </row>
    <row r="306" spans="1:21" ht="15" customHeight="1" x14ac:dyDescent="0.2">
      <c r="A306" s="1"/>
      <c r="B306" s="1"/>
      <c r="C306" s="6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1"/>
      <c r="T306" s="1"/>
      <c r="U306" s="1"/>
    </row>
    <row r="307" spans="1:21" ht="15" customHeight="1" x14ac:dyDescent="0.2">
      <c r="A307" s="1"/>
      <c r="B307" s="1"/>
      <c r="C307" s="6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1"/>
      <c r="T307" s="1"/>
      <c r="U307" s="1"/>
    </row>
    <row r="308" spans="1:21" ht="15" customHeight="1" x14ac:dyDescent="0.2">
      <c r="A308" s="1"/>
      <c r="B308" s="1"/>
      <c r="C308" s="6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1"/>
      <c r="T308" s="1"/>
      <c r="U308" s="1"/>
    </row>
    <row r="309" spans="1:21" ht="15" customHeight="1" x14ac:dyDescent="0.2">
      <c r="A309" s="1"/>
      <c r="B309" s="1"/>
      <c r="C309" s="6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1"/>
      <c r="T309" s="1"/>
      <c r="U309" s="1"/>
    </row>
    <row r="310" spans="1:21" ht="15" customHeight="1" x14ac:dyDescent="0.2">
      <c r="A310" s="1"/>
      <c r="B310" s="1"/>
      <c r="C310" s="6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1"/>
      <c r="T310" s="1"/>
      <c r="U310" s="1"/>
    </row>
    <row r="311" spans="1:21" ht="15" customHeight="1" x14ac:dyDescent="0.2">
      <c r="A311" s="1"/>
      <c r="B311" s="1"/>
      <c r="C311" s="6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1"/>
      <c r="T311" s="1"/>
      <c r="U311" s="1"/>
    </row>
    <row r="312" spans="1:21" ht="15" customHeight="1" x14ac:dyDescent="0.2">
      <c r="A312" s="1"/>
      <c r="B312" s="1"/>
      <c r="C312" s="6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1"/>
      <c r="T312" s="1"/>
      <c r="U312" s="1"/>
    </row>
    <row r="313" spans="1:21" ht="15" customHeight="1" x14ac:dyDescent="0.2">
      <c r="A313" s="1"/>
      <c r="B313" s="1"/>
      <c r="C313" s="6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1"/>
      <c r="T313" s="1"/>
      <c r="U313" s="1"/>
    </row>
    <row r="314" spans="1:21" ht="15" customHeight="1" x14ac:dyDescent="0.2">
      <c r="A314" s="1"/>
      <c r="B314" s="1"/>
      <c r="C314" s="6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1"/>
      <c r="T314" s="1"/>
      <c r="U314" s="1"/>
    </row>
    <row r="315" spans="1:21" ht="15" customHeight="1" x14ac:dyDescent="0.2">
      <c r="A315" s="1"/>
      <c r="B315" s="1"/>
      <c r="C315" s="6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1"/>
      <c r="T315" s="1"/>
      <c r="U315" s="1"/>
    </row>
    <row r="316" spans="1:21" ht="15" customHeight="1" x14ac:dyDescent="0.2">
      <c r="A316" s="1"/>
      <c r="B316" s="1"/>
      <c r="C316" s="6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1"/>
      <c r="T316" s="1"/>
      <c r="U316" s="1"/>
    </row>
    <row r="317" spans="1:21" ht="15" customHeight="1" x14ac:dyDescent="0.2">
      <c r="A317" s="1"/>
      <c r="B317" s="1"/>
      <c r="C317" s="6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1"/>
      <c r="T317" s="1"/>
      <c r="U317" s="1"/>
    </row>
    <row r="318" spans="1:21" ht="15" customHeight="1" x14ac:dyDescent="0.2">
      <c r="A318" s="1"/>
      <c r="B318" s="1"/>
      <c r="C318" s="6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1"/>
      <c r="T318" s="1"/>
      <c r="U318" s="1"/>
    </row>
    <row r="319" spans="1:21" ht="15" customHeight="1" x14ac:dyDescent="0.2">
      <c r="A319" s="1"/>
      <c r="B319" s="1"/>
      <c r="C319" s="6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1"/>
      <c r="T319" s="1"/>
      <c r="U319" s="1"/>
    </row>
    <row r="320" spans="1:21" ht="15" customHeight="1" x14ac:dyDescent="0.2">
      <c r="A320" s="1"/>
      <c r="B320" s="1"/>
      <c r="C320" s="6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1"/>
      <c r="T320" s="1"/>
      <c r="U320" s="1"/>
    </row>
    <row r="321" spans="1:21" ht="15" customHeight="1" x14ac:dyDescent="0.2">
      <c r="A321" s="1"/>
      <c r="B321" s="1"/>
      <c r="C321" s="6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1"/>
      <c r="T321" s="1"/>
      <c r="U321" s="1"/>
    </row>
    <row r="322" spans="1:21" ht="15" customHeight="1" x14ac:dyDescent="0.2">
      <c r="A322" s="1"/>
      <c r="B322" s="1"/>
      <c r="C322" s="6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1"/>
      <c r="T322" s="1"/>
      <c r="U322" s="1"/>
    </row>
    <row r="323" spans="1:21" ht="15" customHeight="1" x14ac:dyDescent="0.2">
      <c r="A323" s="1"/>
      <c r="B323" s="1"/>
      <c r="C323" s="6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1"/>
      <c r="T323" s="1"/>
      <c r="U323" s="1"/>
    </row>
    <row r="324" spans="1:21" ht="15" customHeight="1" x14ac:dyDescent="0.2">
      <c r="A324" s="1"/>
      <c r="B324" s="1"/>
      <c r="C324" s="6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1"/>
      <c r="T324" s="1"/>
      <c r="U324" s="1"/>
    </row>
    <row r="325" spans="1:21" ht="15" customHeight="1" x14ac:dyDescent="0.2">
      <c r="A325" s="1"/>
      <c r="B325" s="1"/>
      <c r="C325" s="6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1"/>
      <c r="T325" s="1"/>
      <c r="U325" s="1"/>
    </row>
    <row r="326" spans="1:21" ht="15" customHeight="1" x14ac:dyDescent="0.2">
      <c r="A326" s="1"/>
      <c r="B326" s="1"/>
      <c r="C326" s="6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1"/>
      <c r="T326" s="1"/>
      <c r="U326" s="1"/>
    </row>
    <row r="327" spans="1:21" ht="15" customHeight="1" x14ac:dyDescent="0.2">
      <c r="A327" s="1"/>
      <c r="B327" s="1"/>
      <c r="C327" s="6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1"/>
      <c r="T327" s="1"/>
      <c r="U327" s="1"/>
    </row>
    <row r="328" spans="1:21" ht="15" customHeight="1" x14ac:dyDescent="0.2">
      <c r="A328" s="1"/>
      <c r="B328" s="1"/>
      <c r="C328" s="6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1"/>
      <c r="T328" s="1"/>
      <c r="U328" s="1"/>
    </row>
    <row r="329" spans="1:21" ht="15" customHeight="1" x14ac:dyDescent="0.2">
      <c r="A329" s="1"/>
      <c r="B329" s="1"/>
      <c r="C329" s="6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1"/>
      <c r="T329" s="1"/>
      <c r="U329" s="1"/>
    </row>
    <row r="330" spans="1:21" ht="15" customHeight="1" x14ac:dyDescent="0.2">
      <c r="A330" s="1"/>
      <c r="B330" s="1"/>
      <c r="C330" s="6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1"/>
      <c r="T330" s="1"/>
      <c r="U330" s="1"/>
    </row>
    <row r="331" spans="1:21" ht="15" customHeight="1" x14ac:dyDescent="0.2">
      <c r="A331" s="1"/>
      <c r="B331" s="1"/>
      <c r="C331" s="6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1"/>
      <c r="T331" s="1"/>
      <c r="U331" s="1"/>
    </row>
    <row r="332" spans="1:21" ht="15" customHeight="1" x14ac:dyDescent="0.2">
      <c r="A332" s="1"/>
      <c r="B332" s="1"/>
      <c r="C332" s="6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1"/>
      <c r="T332" s="1"/>
      <c r="U332" s="1"/>
    </row>
    <row r="333" spans="1:21" ht="15" customHeight="1" x14ac:dyDescent="0.2">
      <c r="A333" s="1"/>
      <c r="B333" s="1"/>
      <c r="C333" s="6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1"/>
      <c r="T333" s="1"/>
      <c r="U333" s="1"/>
    </row>
    <row r="334" spans="1:21" ht="15" customHeight="1" x14ac:dyDescent="0.2">
      <c r="A334" s="1"/>
      <c r="B334" s="1"/>
      <c r="C334" s="6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1"/>
      <c r="T334" s="1"/>
      <c r="U334" s="1"/>
    </row>
    <row r="335" spans="1:21" ht="15" customHeight="1" x14ac:dyDescent="0.2">
      <c r="A335" s="1"/>
      <c r="B335" s="1"/>
      <c r="C335" s="6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1"/>
      <c r="T335" s="1"/>
      <c r="U335" s="1"/>
    </row>
    <row r="336" spans="1:21" ht="15" customHeight="1" x14ac:dyDescent="0.2">
      <c r="A336" s="1"/>
      <c r="B336" s="1"/>
      <c r="C336" s="6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1"/>
      <c r="T336" s="1"/>
      <c r="U336" s="1"/>
    </row>
    <row r="337" spans="1:21" ht="15" customHeight="1" x14ac:dyDescent="0.2">
      <c r="A337" s="1"/>
      <c r="B337" s="1"/>
      <c r="C337" s="6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1"/>
      <c r="T337" s="1"/>
      <c r="U337" s="1"/>
    </row>
    <row r="338" spans="1:21" ht="15" customHeight="1" x14ac:dyDescent="0.2">
      <c r="A338" s="1"/>
      <c r="B338" s="1"/>
      <c r="C338" s="6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1"/>
      <c r="T338" s="1"/>
      <c r="U338" s="1"/>
    </row>
    <row r="339" spans="1:21" ht="15" customHeight="1" x14ac:dyDescent="0.2">
      <c r="A339" s="1"/>
      <c r="B339" s="1"/>
      <c r="C339" s="6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1"/>
      <c r="T339" s="1"/>
      <c r="U339" s="1"/>
    </row>
    <row r="340" spans="1:21" ht="15" customHeight="1" x14ac:dyDescent="0.2">
      <c r="A340" s="1"/>
      <c r="B340" s="1"/>
      <c r="C340" s="6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1"/>
      <c r="T340" s="1"/>
      <c r="U340" s="1"/>
    </row>
    <row r="341" spans="1:21" ht="15" customHeight="1" x14ac:dyDescent="0.2">
      <c r="A341" s="1"/>
      <c r="B341" s="1"/>
      <c r="C341" s="6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1"/>
      <c r="T341" s="1"/>
      <c r="U341" s="1"/>
    </row>
    <row r="342" spans="1:21" ht="15" customHeight="1" x14ac:dyDescent="0.2">
      <c r="A342" s="1"/>
      <c r="B342" s="1"/>
      <c r="C342" s="6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1"/>
      <c r="T342" s="1"/>
      <c r="U342" s="1"/>
    </row>
    <row r="343" spans="1:21" ht="15" customHeight="1" x14ac:dyDescent="0.2">
      <c r="A343" s="1"/>
      <c r="B343" s="1"/>
      <c r="C343" s="6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1"/>
      <c r="T343" s="1"/>
      <c r="U343" s="1"/>
    </row>
    <row r="344" spans="1:21" ht="15" customHeight="1" x14ac:dyDescent="0.2">
      <c r="A344" s="1"/>
      <c r="B344" s="1"/>
      <c r="C344" s="6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1"/>
      <c r="T344" s="1"/>
      <c r="U344" s="1"/>
    </row>
    <row r="345" spans="1:21" ht="15" customHeight="1" x14ac:dyDescent="0.2">
      <c r="A345" s="1"/>
      <c r="B345" s="1"/>
      <c r="C345" s="6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1"/>
      <c r="T345" s="1"/>
      <c r="U345" s="1"/>
    </row>
    <row r="346" spans="1:21" ht="15" customHeight="1" x14ac:dyDescent="0.2">
      <c r="A346" s="1"/>
      <c r="B346" s="1"/>
      <c r="C346" s="6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1"/>
      <c r="T346" s="1"/>
      <c r="U346" s="1"/>
    </row>
    <row r="347" spans="1:21" ht="15" customHeight="1" x14ac:dyDescent="0.2">
      <c r="A347" s="1"/>
      <c r="B347" s="1"/>
      <c r="C347" s="6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1"/>
      <c r="T347" s="1"/>
      <c r="U347" s="1"/>
    </row>
    <row r="348" spans="1:21" ht="15" customHeight="1" x14ac:dyDescent="0.2">
      <c r="A348" s="1"/>
      <c r="B348" s="1"/>
      <c r="C348" s="6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1"/>
      <c r="T348" s="1"/>
      <c r="U348" s="1"/>
    </row>
    <row r="349" spans="1:21" ht="15" customHeight="1" x14ac:dyDescent="0.2">
      <c r="A349" s="1"/>
      <c r="B349" s="1"/>
      <c r="C349" s="6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1"/>
      <c r="T349" s="1"/>
      <c r="U349" s="1"/>
    </row>
    <row r="350" spans="1:21" ht="15" customHeight="1" x14ac:dyDescent="0.2">
      <c r="A350" s="1"/>
      <c r="B350" s="1"/>
      <c r="C350" s="6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1"/>
      <c r="T350" s="1"/>
      <c r="U350" s="1"/>
    </row>
    <row r="351" spans="1:21" ht="15" customHeight="1" x14ac:dyDescent="0.2">
      <c r="A351" s="1"/>
      <c r="B351" s="1"/>
      <c r="C351" s="6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1"/>
      <c r="T351" s="1"/>
      <c r="U351" s="1"/>
    </row>
    <row r="352" spans="1:21" ht="15" customHeight="1" x14ac:dyDescent="0.2">
      <c r="A352" s="1"/>
      <c r="B352" s="1"/>
      <c r="C352" s="6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1"/>
      <c r="T352" s="1"/>
      <c r="U352" s="1"/>
    </row>
    <row r="353" spans="1:21" ht="15" customHeight="1" x14ac:dyDescent="0.2">
      <c r="A353" s="1"/>
      <c r="B353" s="1"/>
      <c r="C353" s="6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1"/>
      <c r="T353" s="1"/>
      <c r="U353" s="1"/>
    </row>
    <row r="354" spans="1:21" ht="15" customHeight="1" x14ac:dyDescent="0.2">
      <c r="A354" s="1"/>
      <c r="B354" s="1"/>
      <c r="C354" s="6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1"/>
      <c r="T354" s="1"/>
      <c r="U354" s="1"/>
    </row>
    <row r="355" spans="1:21" ht="15" customHeight="1" x14ac:dyDescent="0.2">
      <c r="A355" s="1"/>
      <c r="B355" s="1"/>
      <c r="C355" s="6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1"/>
      <c r="T355" s="1"/>
      <c r="U355" s="1"/>
    </row>
    <row r="356" spans="1:21" ht="15" customHeight="1" x14ac:dyDescent="0.2">
      <c r="A356" s="1"/>
      <c r="B356" s="1"/>
      <c r="C356" s="6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1"/>
      <c r="T356" s="1"/>
      <c r="U356" s="1"/>
    </row>
    <row r="357" spans="1:21" ht="15" customHeight="1" x14ac:dyDescent="0.2">
      <c r="A357" s="1"/>
      <c r="B357" s="1"/>
      <c r="C357" s="6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1"/>
      <c r="T357" s="1"/>
      <c r="U357" s="1"/>
    </row>
    <row r="358" spans="1:21" ht="15" customHeight="1" x14ac:dyDescent="0.2">
      <c r="A358" s="1"/>
      <c r="B358" s="1"/>
      <c r="C358" s="6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1"/>
      <c r="T358" s="1"/>
      <c r="U358" s="1"/>
    </row>
    <row r="359" spans="1:21" ht="15" customHeight="1" x14ac:dyDescent="0.2">
      <c r="A359" s="1"/>
      <c r="B359" s="1"/>
      <c r="C359" s="6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1"/>
      <c r="T359" s="1"/>
      <c r="U359" s="1"/>
    </row>
    <row r="360" spans="1:21" ht="15" customHeight="1" x14ac:dyDescent="0.2">
      <c r="A360" s="1"/>
      <c r="B360" s="1"/>
      <c r="C360" s="6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1"/>
      <c r="T360" s="1"/>
      <c r="U360" s="1"/>
    </row>
    <row r="361" spans="1:21" ht="15" customHeight="1" x14ac:dyDescent="0.2">
      <c r="A361" s="1"/>
      <c r="B361" s="1"/>
      <c r="C361" s="6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1"/>
      <c r="T361" s="1"/>
      <c r="U361" s="1"/>
    </row>
    <row r="362" spans="1:21" ht="15" customHeight="1" x14ac:dyDescent="0.2">
      <c r="A362" s="1"/>
      <c r="B362" s="1"/>
      <c r="C362" s="6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1"/>
      <c r="T362" s="1"/>
      <c r="U362" s="1"/>
    </row>
    <row r="363" spans="1:21" ht="15" customHeight="1" x14ac:dyDescent="0.2">
      <c r="A363" s="1"/>
      <c r="B363" s="1"/>
      <c r="C363" s="6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1"/>
      <c r="T363" s="1"/>
      <c r="U363" s="1"/>
    </row>
    <row r="364" spans="1:21" ht="15" customHeight="1" x14ac:dyDescent="0.2">
      <c r="A364" s="1"/>
      <c r="B364" s="1"/>
      <c r="C364" s="6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1"/>
      <c r="T364" s="1"/>
      <c r="U364" s="1"/>
    </row>
    <row r="365" spans="1:21" ht="15" customHeight="1" x14ac:dyDescent="0.2">
      <c r="A365" s="1"/>
      <c r="B365" s="1"/>
      <c r="C365" s="6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1"/>
      <c r="T365" s="1"/>
      <c r="U365" s="1"/>
    </row>
    <row r="366" spans="1:21" ht="15" customHeight="1" x14ac:dyDescent="0.2">
      <c r="A366" s="1"/>
      <c r="B366" s="1"/>
      <c r="C366" s="6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1"/>
      <c r="T366" s="1"/>
      <c r="U366" s="1"/>
    </row>
    <row r="367" spans="1:21" ht="15" customHeight="1" x14ac:dyDescent="0.2">
      <c r="A367" s="1"/>
      <c r="B367" s="1"/>
      <c r="C367" s="6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1"/>
      <c r="T367" s="1"/>
      <c r="U367" s="1"/>
    </row>
    <row r="368" spans="1:21" ht="15" customHeight="1" x14ac:dyDescent="0.2">
      <c r="A368" s="1"/>
      <c r="B368" s="1"/>
      <c r="C368" s="6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1"/>
      <c r="T368" s="1"/>
      <c r="U368" s="1"/>
    </row>
    <row r="369" spans="1:21" ht="15" customHeight="1" x14ac:dyDescent="0.2">
      <c r="A369" s="1"/>
      <c r="B369" s="1"/>
      <c r="C369" s="6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1"/>
      <c r="T369" s="1"/>
      <c r="U369" s="1"/>
    </row>
    <row r="370" spans="1:21" ht="15" customHeight="1" x14ac:dyDescent="0.2">
      <c r="A370" s="1"/>
      <c r="B370" s="1"/>
      <c r="C370" s="6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1"/>
      <c r="T370" s="1"/>
      <c r="U370" s="1"/>
    </row>
    <row r="371" spans="1:21" ht="15" customHeight="1" x14ac:dyDescent="0.2">
      <c r="A371" s="1"/>
      <c r="B371" s="1"/>
      <c r="C371" s="6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1"/>
      <c r="T371" s="1"/>
      <c r="U371" s="1"/>
    </row>
    <row r="372" spans="1:21" ht="15" customHeight="1" x14ac:dyDescent="0.2">
      <c r="A372" s="1"/>
      <c r="B372" s="1"/>
      <c r="C372" s="6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1"/>
      <c r="T372" s="1"/>
      <c r="U372" s="1"/>
    </row>
    <row r="373" spans="1:21" ht="15" customHeight="1" x14ac:dyDescent="0.2">
      <c r="A373" s="1"/>
      <c r="B373" s="1"/>
      <c r="C373" s="6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1"/>
      <c r="T373" s="1"/>
      <c r="U373" s="1"/>
    </row>
    <row r="374" spans="1:21" ht="15" customHeight="1" x14ac:dyDescent="0.2">
      <c r="A374" s="1"/>
      <c r="B374" s="1"/>
      <c r="C374" s="6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1"/>
      <c r="T374" s="1"/>
      <c r="U374" s="1"/>
    </row>
    <row r="375" spans="1:21" ht="15" customHeight="1" x14ac:dyDescent="0.2">
      <c r="A375" s="1"/>
      <c r="B375" s="1"/>
      <c r="C375" s="6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1"/>
      <c r="T375" s="1"/>
      <c r="U375" s="1"/>
    </row>
    <row r="376" spans="1:21" ht="15" customHeight="1" x14ac:dyDescent="0.2">
      <c r="A376" s="1"/>
      <c r="B376" s="1"/>
      <c r="C376" s="6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1"/>
      <c r="T376" s="1"/>
      <c r="U376" s="1"/>
    </row>
    <row r="377" spans="1:21" ht="15" customHeight="1" x14ac:dyDescent="0.2">
      <c r="A377" s="1"/>
      <c r="B377" s="1"/>
      <c r="C377" s="6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1"/>
      <c r="T377" s="1"/>
      <c r="U377" s="1"/>
    </row>
    <row r="378" spans="1:21" ht="15" customHeight="1" x14ac:dyDescent="0.2">
      <c r="A378" s="1"/>
      <c r="B378" s="1"/>
      <c r="C378" s="6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1"/>
      <c r="T378" s="1"/>
      <c r="U378" s="1"/>
    </row>
    <row r="379" spans="1:21" ht="15" customHeight="1" x14ac:dyDescent="0.2">
      <c r="A379" s="1"/>
      <c r="B379" s="1"/>
      <c r="C379" s="6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1"/>
      <c r="T379" s="1"/>
      <c r="U379" s="1"/>
    </row>
    <row r="380" spans="1:21" ht="15" customHeight="1" x14ac:dyDescent="0.2">
      <c r="A380" s="1"/>
      <c r="B380" s="1"/>
      <c r="C380" s="6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1"/>
      <c r="T380" s="1"/>
      <c r="U380" s="1"/>
    </row>
    <row r="381" spans="1:21" ht="15" customHeight="1" x14ac:dyDescent="0.2">
      <c r="A381" s="1"/>
      <c r="B381" s="1"/>
      <c r="C381" s="6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1"/>
      <c r="T381" s="1"/>
      <c r="U381" s="1"/>
    </row>
    <row r="382" spans="1:21" ht="15" customHeight="1" x14ac:dyDescent="0.2">
      <c r="A382" s="1"/>
      <c r="B382" s="1"/>
      <c r="C382" s="6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1"/>
      <c r="T382" s="1"/>
      <c r="U382" s="1"/>
    </row>
    <row r="383" spans="1:21" ht="15" customHeight="1" x14ac:dyDescent="0.2">
      <c r="A383" s="1"/>
      <c r="B383" s="1"/>
      <c r="C383" s="6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1"/>
      <c r="T383" s="1"/>
      <c r="U383" s="1"/>
    </row>
    <row r="384" spans="1:21" ht="15" customHeight="1" x14ac:dyDescent="0.2">
      <c r="A384" s="1"/>
      <c r="B384" s="1"/>
      <c r="C384" s="6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1"/>
      <c r="T384" s="1"/>
      <c r="U384" s="1"/>
    </row>
    <row r="385" spans="1:21" ht="15" customHeight="1" x14ac:dyDescent="0.2">
      <c r="A385" s="1"/>
      <c r="B385" s="1"/>
      <c r="C385" s="6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1"/>
      <c r="T385" s="1"/>
      <c r="U385" s="1"/>
    </row>
    <row r="386" spans="1:21" ht="15" customHeight="1" x14ac:dyDescent="0.2">
      <c r="A386" s="1"/>
      <c r="B386" s="1"/>
      <c r="C386" s="6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1"/>
      <c r="T386" s="1"/>
      <c r="U386" s="1"/>
    </row>
    <row r="387" spans="1:21" ht="15" customHeight="1" x14ac:dyDescent="0.2">
      <c r="A387" s="1"/>
      <c r="B387" s="1"/>
      <c r="C387" s="6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1"/>
      <c r="T387" s="1"/>
      <c r="U387" s="1"/>
    </row>
    <row r="388" spans="1:21" ht="15" customHeight="1" x14ac:dyDescent="0.2">
      <c r="A388" s="1"/>
      <c r="B388" s="1"/>
      <c r="C388" s="6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1"/>
      <c r="T388" s="1"/>
      <c r="U388" s="1"/>
    </row>
    <row r="389" spans="1:21" ht="15" customHeight="1" x14ac:dyDescent="0.2">
      <c r="A389" s="1"/>
      <c r="B389" s="1"/>
      <c r="C389" s="6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1"/>
      <c r="T389" s="1"/>
      <c r="U389" s="1"/>
    </row>
    <row r="390" spans="1:21" ht="15" customHeight="1" x14ac:dyDescent="0.2">
      <c r="A390" s="1"/>
      <c r="B390" s="1"/>
      <c r="C390" s="6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1"/>
      <c r="T390" s="1"/>
      <c r="U390" s="1"/>
    </row>
    <row r="391" spans="1:21" ht="15" customHeight="1" x14ac:dyDescent="0.2">
      <c r="A391" s="1"/>
      <c r="B391" s="1"/>
      <c r="C391" s="6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1"/>
      <c r="T391" s="1"/>
      <c r="U391" s="1"/>
    </row>
    <row r="392" spans="1:21" ht="15" customHeight="1" x14ac:dyDescent="0.2">
      <c r="A392" s="1"/>
      <c r="B392" s="1"/>
      <c r="C392" s="6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1"/>
      <c r="T392" s="1"/>
      <c r="U392" s="1"/>
    </row>
    <row r="393" spans="1:21" ht="15" customHeight="1" x14ac:dyDescent="0.2">
      <c r="A393" s="1"/>
      <c r="B393" s="1"/>
      <c r="C393" s="6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1"/>
      <c r="T393" s="1"/>
      <c r="U393" s="1"/>
    </row>
    <row r="394" spans="1:21" ht="15" customHeight="1" x14ac:dyDescent="0.2">
      <c r="A394" s="1"/>
      <c r="B394" s="1"/>
      <c r="C394" s="6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1"/>
      <c r="T394" s="1"/>
      <c r="U394" s="1"/>
    </row>
    <row r="395" spans="1:21" ht="15" customHeight="1" x14ac:dyDescent="0.2">
      <c r="A395" s="1"/>
      <c r="B395" s="1"/>
      <c r="C395" s="6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1"/>
      <c r="T395" s="1"/>
      <c r="U395" s="1"/>
    </row>
    <row r="396" spans="1:21" ht="15" customHeight="1" x14ac:dyDescent="0.2">
      <c r="A396" s="1"/>
      <c r="B396" s="1"/>
      <c r="C396" s="6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1"/>
      <c r="T396" s="1"/>
      <c r="U396" s="1"/>
    </row>
    <row r="397" spans="1:21" ht="15" customHeight="1" x14ac:dyDescent="0.2">
      <c r="A397" s="1"/>
      <c r="B397" s="1"/>
      <c r="C397" s="6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1"/>
      <c r="T397" s="1"/>
      <c r="U397" s="1"/>
    </row>
    <row r="398" spans="1:21" ht="15" customHeight="1" x14ac:dyDescent="0.2">
      <c r="A398" s="1"/>
      <c r="B398" s="1"/>
      <c r="C398" s="6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1"/>
      <c r="T398" s="1"/>
      <c r="U398" s="1"/>
    </row>
    <row r="399" spans="1:21" ht="15" customHeight="1" x14ac:dyDescent="0.2">
      <c r="A399" s="1"/>
      <c r="B399" s="1"/>
      <c r="C399" s="6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1"/>
      <c r="T399" s="1"/>
      <c r="U399" s="1"/>
    </row>
    <row r="400" spans="1:21" ht="15" customHeight="1" x14ac:dyDescent="0.2">
      <c r="A400" s="1"/>
      <c r="B400" s="1"/>
      <c r="C400" s="6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1"/>
      <c r="T400" s="1"/>
      <c r="U400" s="1"/>
    </row>
    <row r="401" spans="1:21" ht="15" customHeight="1" x14ac:dyDescent="0.2">
      <c r="A401" s="1"/>
      <c r="B401" s="1"/>
      <c r="C401" s="6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1"/>
      <c r="T401" s="1"/>
      <c r="U401" s="1"/>
    </row>
    <row r="402" spans="1:21" ht="15" customHeight="1" x14ac:dyDescent="0.2">
      <c r="A402" s="1"/>
      <c r="B402" s="1"/>
      <c r="C402" s="6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1"/>
      <c r="T402" s="1"/>
      <c r="U402" s="1"/>
    </row>
    <row r="403" spans="1:21" ht="15" customHeight="1" x14ac:dyDescent="0.2">
      <c r="A403" s="1"/>
      <c r="B403" s="1"/>
      <c r="C403" s="6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1"/>
      <c r="T403" s="1"/>
      <c r="U403" s="1"/>
    </row>
    <row r="404" spans="1:21" ht="15" customHeight="1" x14ac:dyDescent="0.2">
      <c r="A404" s="1"/>
      <c r="B404" s="1"/>
      <c r="C404" s="6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1"/>
      <c r="T404" s="1"/>
      <c r="U404" s="1"/>
    </row>
    <row r="405" spans="1:21" ht="15" customHeight="1" x14ac:dyDescent="0.2">
      <c r="A405" s="1"/>
      <c r="B405" s="1"/>
      <c r="C405" s="6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1"/>
      <c r="T405" s="1"/>
      <c r="U405" s="1"/>
    </row>
    <row r="406" spans="1:21" ht="15" customHeight="1" x14ac:dyDescent="0.2">
      <c r="A406" s="1"/>
      <c r="B406" s="1"/>
      <c r="C406" s="6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1"/>
      <c r="T406" s="1"/>
      <c r="U406" s="1"/>
    </row>
    <row r="407" spans="1:21" ht="15" customHeight="1" x14ac:dyDescent="0.2">
      <c r="A407" s="1"/>
      <c r="B407" s="1"/>
      <c r="C407" s="6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1"/>
      <c r="T407" s="1"/>
      <c r="U407" s="1"/>
    </row>
    <row r="408" spans="1:21" ht="15" customHeight="1" x14ac:dyDescent="0.2">
      <c r="A408" s="1"/>
      <c r="B408" s="1"/>
      <c r="C408" s="6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1"/>
      <c r="T408" s="1"/>
      <c r="U408" s="1"/>
    </row>
    <row r="409" spans="1:21" ht="15.75" customHeight="1" x14ac:dyDescent="0.2">
      <c r="A409" s="1"/>
      <c r="B409" s="1"/>
      <c r="C409" s="6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1"/>
      <c r="T409" s="1"/>
      <c r="U409" s="1"/>
    </row>
    <row r="410" spans="1:21" ht="15.75" customHeight="1" x14ac:dyDescent="0.2">
      <c r="A410" s="1"/>
      <c r="B410" s="1"/>
      <c r="C410" s="6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1"/>
      <c r="T410" s="1"/>
      <c r="U410" s="1"/>
    </row>
    <row r="411" spans="1:21" ht="15.75" customHeight="1" x14ac:dyDescent="0.2">
      <c r="A411" s="1"/>
      <c r="B411" s="1"/>
      <c r="C411" s="6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1"/>
      <c r="T411" s="1"/>
      <c r="U411" s="1"/>
    </row>
    <row r="412" spans="1:21" ht="15.75" customHeight="1" x14ac:dyDescent="0.2">
      <c r="A412" s="1"/>
      <c r="B412" s="1"/>
      <c r="C412" s="6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1"/>
      <c r="T412" s="1"/>
      <c r="U412" s="1"/>
    </row>
    <row r="413" spans="1:21" ht="15.75" customHeight="1" x14ac:dyDescent="0.2">
      <c r="A413" s="1"/>
      <c r="B413" s="1"/>
      <c r="C413" s="6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1"/>
      <c r="T413" s="1"/>
      <c r="U413" s="1"/>
    </row>
    <row r="414" spans="1:21" ht="15.75" customHeight="1" x14ac:dyDescent="0.2">
      <c r="A414" s="1"/>
      <c r="B414" s="1"/>
      <c r="C414" s="6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1"/>
      <c r="T414" s="1"/>
      <c r="U414" s="1"/>
    </row>
    <row r="415" spans="1:21" ht="15.75" customHeight="1" x14ac:dyDescent="0.2">
      <c r="A415" s="1"/>
      <c r="B415" s="1"/>
      <c r="C415" s="6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1"/>
      <c r="T415" s="1"/>
      <c r="U415" s="1"/>
    </row>
    <row r="416" spans="1:21" ht="15.75" customHeight="1" x14ac:dyDescent="0.2">
      <c r="A416" s="1"/>
      <c r="B416" s="1"/>
      <c r="C416" s="6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1"/>
      <c r="T416" s="1"/>
      <c r="U416" s="1"/>
    </row>
    <row r="417" spans="1:21" ht="15.75" customHeight="1" x14ac:dyDescent="0.2">
      <c r="A417" s="1"/>
      <c r="B417" s="1"/>
      <c r="C417" s="6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1"/>
      <c r="T417" s="1"/>
      <c r="U417" s="1"/>
    </row>
    <row r="418" spans="1:21" ht="15.75" customHeight="1" x14ac:dyDescent="0.2">
      <c r="A418" s="1"/>
      <c r="B418" s="1"/>
      <c r="C418" s="6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1"/>
      <c r="T418" s="1"/>
      <c r="U418" s="1"/>
    </row>
    <row r="419" spans="1:21" ht="15.75" customHeight="1" x14ac:dyDescent="0.2">
      <c r="A419" s="1"/>
      <c r="B419" s="1"/>
      <c r="C419" s="6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1"/>
      <c r="T419" s="1"/>
      <c r="U419" s="1"/>
    </row>
    <row r="420" spans="1:21" ht="15.75" customHeight="1" x14ac:dyDescent="0.2">
      <c r="A420" s="1"/>
      <c r="B420" s="1"/>
      <c r="C420" s="6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1"/>
      <c r="T420" s="1"/>
      <c r="U420" s="1"/>
    </row>
    <row r="421" spans="1:21" ht="15.75" customHeight="1" x14ac:dyDescent="0.2">
      <c r="A421" s="1"/>
      <c r="B421" s="1"/>
      <c r="C421" s="6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1"/>
      <c r="T421" s="1"/>
      <c r="U421" s="1"/>
    </row>
    <row r="422" spans="1:21" ht="15.75" customHeight="1" x14ac:dyDescent="0.2">
      <c r="A422" s="1"/>
      <c r="B422" s="1"/>
      <c r="C422" s="6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1"/>
      <c r="T422" s="1"/>
      <c r="U422" s="1"/>
    </row>
    <row r="423" spans="1:21" ht="15.75" customHeight="1" x14ac:dyDescent="0.2">
      <c r="A423" s="1"/>
      <c r="B423" s="1"/>
      <c r="C423" s="6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1"/>
      <c r="T423" s="1"/>
      <c r="U423" s="1"/>
    </row>
    <row r="424" spans="1:21" ht="15.75" customHeight="1" x14ac:dyDescent="0.2">
      <c r="A424" s="1"/>
      <c r="B424" s="1"/>
      <c r="C424" s="6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1"/>
      <c r="T424" s="1"/>
      <c r="U424" s="1"/>
    </row>
    <row r="425" spans="1:21" ht="15.75" customHeight="1" x14ac:dyDescent="0.2">
      <c r="A425" s="1"/>
      <c r="B425" s="1"/>
      <c r="C425" s="6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1"/>
      <c r="T425" s="1"/>
      <c r="U425" s="1"/>
    </row>
    <row r="426" spans="1:21" ht="15.75" customHeight="1" x14ac:dyDescent="0.2">
      <c r="A426" s="1"/>
      <c r="B426" s="1"/>
      <c r="C426" s="6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1"/>
      <c r="T426" s="1"/>
      <c r="U426" s="1"/>
    </row>
    <row r="427" spans="1:21" ht="15.75" customHeight="1" x14ac:dyDescent="0.2">
      <c r="A427" s="1"/>
      <c r="B427" s="1"/>
      <c r="C427" s="6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1"/>
      <c r="T427" s="1"/>
      <c r="U427" s="1"/>
    </row>
    <row r="428" spans="1:21" ht="15.75" customHeight="1" x14ac:dyDescent="0.2">
      <c r="A428" s="1"/>
      <c r="B428" s="1"/>
      <c r="C428" s="6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1"/>
      <c r="T428" s="1"/>
      <c r="U428" s="1"/>
    </row>
    <row r="429" spans="1:21" ht="15.75" customHeight="1" x14ac:dyDescent="0.2">
      <c r="A429" s="1"/>
      <c r="B429" s="1"/>
      <c r="C429" s="6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1"/>
      <c r="T429" s="1"/>
      <c r="U429" s="1"/>
    </row>
    <row r="430" spans="1:21" ht="15.75" customHeight="1" x14ac:dyDescent="0.2">
      <c r="A430" s="1"/>
      <c r="B430" s="1"/>
      <c r="C430" s="6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1"/>
      <c r="T430" s="1"/>
      <c r="U430" s="1"/>
    </row>
    <row r="431" spans="1:21" ht="15.75" customHeight="1" x14ac:dyDescent="0.2">
      <c r="A431" s="1"/>
      <c r="B431" s="1"/>
      <c r="C431" s="6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1"/>
      <c r="T431" s="1"/>
      <c r="U431" s="1"/>
    </row>
    <row r="432" spans="1:21" ht="15.75" customHeight="1" x14ac:dyDescent="0.2">
      <c r="A432" s="1"/>
      <c r="B432" s="1"/>
      <c r="C432" s="6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1"/>
      <c r="T432" s="1"/>
      <c r="U432" s="1"/>
    </row>
    <row r="433" spans="1:21" ht="15.75" customHeight="1" x14ac:dyDescent="0.2">
      <c r="A433" s="1"/>
      <c r="B433" s="1"/>
      <c r="C433" s="6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1"/>
      <c r="T433" s="1"/>
      <c r="U433" s="1"/>
    </row>
    <row r="434" spans="1:21" ht="15.75" customHeight="1" x14ac:dyDescent="0.2">
      <c r="A434" s="1"/>
      <c r="B434" s="1"/>
      <c r="C434" s="6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1"/>
      <c r="T434" s="1"/>
      <c r="U434" s="1"/>
    </row>
    <row r="435" spans="1:21" ht="15.75" customHeight="1" x14ac:dyDescent="0.2">
      <c r="A435" s="1"/>
      <c r="B435" s="1"/>
      <c r="C435" s="6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1"/>
      <c r="T435" s="1"/>
      <c r="U435" s="1"/>
    </row>
    <row r="436" spans="1:21" ht="15.75" customHeight="1" x14ac:dyDescent="0.2">
      <c r="A436" s="1"/>
      <c r="B436" s="1"/>
      <c r="C436" s="6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1"/>
      <c r="T436" s="1"/>
      <c r="U436" s="1"/>
    </row>
    <row r="437" spans="1:21" ht="15.75" customHeight="1" x14ac:dyDescent="0.2">
      <c r="A437" s="1"/>
      <c r="B437" s="1"/>
      <c r="C437" s="6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1"/>
      <c r="T437" s="1"/>
      <c r="U437" s="1"/>
    </row>
    <row r="438" spans="1:21" ht="15.75" customHeight="1" x14ac:dyDescent="0.2">
      <c r="A438" s="1"/>
      <c r="B438" s="1"/>
      <c r="C438" s="6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1"/>
      <c r="T438" s="1"/>
      <c r="U438" s="1"/>
    </row>
    <row r="439" spans="1:21" ht="15.75" customHeight="1" x14ac:dyDescent="0.2">
      <c r="A439" s="1"/>
      <c r="B439" s="1"/>
      <c r="C439" s="6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1"/>
      <c r="T439" s="1"/>
      <c r="U439" s="1"/>
    </row>
    <row r="440" spans="1:21" ht="15.75" customHeight="1" x14ac:dyDescent="0.2">
      <c r="A440" s="1"/>
      <c r="B440" s="1"/>
      <c r="C440" s="6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1"/>
      <c r="T440" s="1"/>
      <c r="U440" s="1"/>
    </row>
    <row r="441" spans="1:21" ht="15.75" customHeight="1" x14ac:dyDescent="0.2">
      <c r="A441" s="1"/>
      <c r="B441" s="1"/>
      <c r="C441" s="6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1"/>
      <c r="T441" s="1"/>
      <c r="U441" s="1"/>
    </row>
    <row r="442" spans="1:21" ht="15.75" customHeight="1" x14ac:dyDescent="0.2">
      <c r="A442" s="1"/>
      <c r="B442" s="1"/>
      <c r="C442" s="6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1"/>
      <c r="T442" s="1"/>
      <c r="U442" s="1"/>
    </row>
    <row r="443" spans="1:21" ht="15.75" customHeight="1" x14ac:dyDescent="0.2">
      <c r="A443" s="1"/>
      <c r="B443" s="1"/>
      <c r="C443" s="6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1"/>
      <c r="T443" s="1"/>
      <c r="U443" s="1"/>
    </row>
    <row r="444" spans="1:21" ht="15.75" customHeight="1" x14ac:dyDescent="0.2">
      <c r="A444" s="1"/>
      <c r="B444" s="1"/>
      <c r="C444" s="6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1"/>
      <c r="T444" s="1"/>
      <c r="U444" s="1"/>
    </row>
    <row r="445" spans="1:21" ht="15.75" customHeight="1" x14ac:dyDescent="0.2">
      <c r="A445" s="1"/>
      <c r="B445" s="1"/>
      <c r="C445" s="6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1"/>
      <c r="T445" s="1"/>
      <c r="U445" s="1"/>
    </row>
    <row r="446" spans="1:21" ht="15.75" customHeight="1" x14ac:dyDescent="0.2">
      <c r="A446" s="1"/>
      <c r="B446" s="1"/>
      <c r="C446" s="6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1"/>
      <c r="T446" s="1"/>
      <c r="U446" s="1"/>
    </row>
    <row r="447" spans="1:21" ht="15.75" customHeight="1" x14ac:dyDescent="0.2">
      <c r="A447" s="1"/>
      <c r="B447" s="1"/>
      <c r="C447" s="6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1"/>
      <c r="T447" s="1"/>
      <c r="U447" s="1"/>
    </row>
    <row r="448" spans="1:21" ht="15.75" customHeight="1" x14ac:dyDescent="0.2">
      <c r="A448" s="1"/>
      <c r="B448" s="1"/>
      <c r="C448" s="6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1"/>
      <c r="T448" s="1"/>
      <c r="U448" s="1"/>
    </row>
    <row r="449" spans="1:21" ht="15.75" customHeight="1" x14ac:dyDescent="0.2">
      <c r="A449" s="1"/>
      <c r="B449" s="1"/>
      <c r="C449" s="6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1"/>
      <c r="T449" s="1"/>
      <c r="U449" s="1"/>
    </row>
    <row r="450" spans="1:21" ht="15.75" customHeight="1" x14ac:dyDescent="0.2">
      <c r="A450" s="1"/>
      <c r="B450" s="1"/>
      <c r="C450" s="6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1"/>
      <c r="T450" s="1"/>
      <c r="U450" s="1"/>
    </row>
    <row r="451" spans="1:21" ht="15.75" customHeight="1" x14ac:dyDescent="0.2">
      <c r="A451" s="1"/>
      <c r="B451" s="1"/>
      <c r="C451" s="6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1"/>
      <c r="T451" s="1"/>
      <c r="U451" s="1"/>
    </row>
    <row r="452" spans="1:21" ht="15.75" customHeight="1" x14ac:dyDescent="0.2">
      <c r="A452" s="1"/>
      <c r="B452" s="1"/>
      <c r="C452" s="6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1"/>
      <c r="T452" s="1"/>
      <c r="U452" s="1"/>
    </row>
    <row r="453" spans="1:21" ht="15.75" customHeight="1" x14ac:dyDescent="0.2">
      <c r="A453" s="1"/>
      <c r="B453" s="1"/>
      <c r="C453" s="6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1"/>
      <c r="T453" s="1"/>
      <c r="U453" s="1"/>
    </row>
    <row r="454" spans="1:21" ht="15.75" customHeight="1" x14ac:dyDescent="0.2">
      <c r="A454" s="1"/>
      <c r="B454" s="1"/>
      <c r="C454" s="6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1"/>
      <c r="T454" s="1"/>
      <c r="U454" s="1"/>
    </row>
    <row r="455" spans="1:21" ht="15.75" customHeight="1" x14ac:dyDescent="0.2">
      <c r="A455" s="1"/>
      <c r="B455" s="1"/>
      <c r="C455" s="6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1"/>
      <c r="T455" s="1"/>
      <c r="U455" s="1"/>
    </row>
    <row r="456" spans="1:21" ht="15.75" customHeight="1" x14ac:dyDescent="0.2">
      <c r="A456" s="1"/>
      <c r="B456" s="1"/>
      <c r="C456" s="6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1"/>
      <c r="T456" s="1"/>
      <c r="U456" s="1"/>
    </row>
    <row r="457" spans="1:21" ht="15.75" customHeight="1" x14ac:dyDescent="0.2">
      <c r="A457" s="1"/>
      <c r="B457" s="1"/>
      <c r="C457" s="6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1"/>
      <c r="T457" s="1"/>
      <c r="U457" s="1"/>
    </row>
    <row r="458" spans="1:21" ht="15.75" customHeight="1" x14ac:dyDescent="0.2">
      <c r="A458" s="1"/>
      <c r="B458" s="1"/>
      <c r="C458" s="6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1"/>
      <c r="T458" s="1"/>
      <c r="U458" s="1"/>
    </row>
    <row r="459" spans="1:21" ht="15.75" customHeight="1" x14ac:dyDescent="0.2">
      <c r="A459" s="1"/>
      <c r="B459" s="1"/>
      <c r="C459" s="6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1"/>
      <c r="T459" s="1"/>
      <c r="U459" s="1"/>
    </row>
    <row r="460" spans="1:21" ht="15.75" customHeight="1" x14ac:dyDescent="0.2">
      <c r="A460" s="1"/>
      <c r="B460" s="1"/>
      <c r="C460" s="6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1"/>
      <c r="T460" s="1"/>
      <c r="U460" s="1"/>
    </row>
    <row r="461" spans="1:21" ht="15.75" customHeight="1" x14ac:dyDescent="0.2">
      <c r="A461" s="1"/>
      <c r="B461" s="1"/>
      <c r="C461" s="6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1"/>
      <c r="T461" s="1"/>
      <c r="U461" s="1"/>
    </row>
    <row r="462" spans="1:21" ht="15.75" customHeight="1" x14ac:dyDescent="0.2">
      <c r="A462" s="1"/>
      <c r="B462" s="1"/>
      <c r="C462" s="6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1"/>
      <c r="T462" s="1"/>
      <c r="U462" s="1"/>
    </row>
    <row r="463" spans="1:21" ht="15.75" customHeight="1" x14ac:dyDescent="0.2">
      <c r="A463" s="1"/>
      <c r="B463" s="1"/>
      <c r="C463" s="6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1"/>
      <c r="T463" s="1"/>
      <c r="U463" s="1"/>
    </row>
    <row r="464" spans="1:21" ht="15.75" customHeight="1" x14ac:dyDescent="0.2">
      <c r="A464" s="1"/>
      <c r="B464" s="1"/>
      <c r="C464" s="6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1"/>
      <c r="T464" s="1"/>
      <c r="U464" s="1"/>
    </row>
    <row r="465" spans="1:21" ht="15.75" customHeight="1" x14ac:dyDescent="0.2">
      <c r="A465" s="1"/>
      <c r="B465" s="1"/>
      <c r="C465" s="6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1"/>
      <c r="T465" s="1"/>
      <c r="U465" s="1"/>
    </row>
    <row r="466" spans="1:21" ht="15.75" customHeight="1" x14ac:dyDescent="0.2">
      <c r="A466" s="1"/>
      <c r="B466" s="1"/>
      <c r="C466" s="6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1"/>
      <c r="T466" s="1"/>
      <c r="U466" s="1"/>
    </row>
    <row r="467" spans="1:21" ht="15.75" customHeight="1" x14ac:dyDescent="0.2">
      <c r="A467" s="1"/>
      <c r="B467" s="1"/>
      <c r="C467" s="6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1"/>
      <c r="T467" s="1"/>
      <c r="U467" s="1"/>
    </row>
    <row r="468" spans="1:21" ht="15.75" customHeight="1" x14ac:dyDescent="0.2">
      <c r="A468" s="1"/>
      <c r="B468" s="1"/>
      <c r="C468" s="6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1"/>
      <c r="T468" s="1"/>
      <c r="U468" s="1"/>
    </row>
    <row r="469" spans="1:21" ht="15.75" customHeight="1" x14ac:dyDescent="0.2">
      <c r="A469" s="1"/>
      <c r="B469" s="1"/>
      <c r="C469" s="6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1"/>
      <c r="T469" s="1"/>
      <c r="U469" s="1"/>
    </row>
    <row r="470" spans="1:21" ht="15.75" customHeight="1" x14ac:dyDescent="0.2">
      <c r="A470" s="1"/>
      <c r="B470" s="1"/>
      <c r="C470" s="6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1"/>
      <c r="T470" s="1"/>
      <c r="U470" s="1"/>
    </row>
    <row r="471" spans="1:21" ht="15.75" customHeight="1" x14ac:dyDescent="0.2">
      <c r="A471" s="1"/>
      <c r="B471" s="1"/>
      <c r="C471" s="6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1"/>
      <c r="T471" s="1"/>
      <c r="U471" s="1"/>
    </row>
    <row r="472" spans="1:21" ht="15.75" customHeight="1" x14ac:dyDescent="0.2">
      <c r="A472" s="1"/>
      <c r="B472" s="1"/>
      <c r="C472" s="6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1"/>
      <c r="T472" s="1"/>
      <c r="U472" s="1"/>
    </row>
    <row r="473" spans="1:21" ht="15.75" customHeight="1" x14ac:dyDescent="0.2">
      <c r="A473" s="1"/>
      <c r="B473" s="1"/>
      <c r="C473" s="6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1"/>
      <c r="T473" s="1"/>
      <c r="U473" s="1"/>
    </row>
    <row r="474" spans="1:21" ht="15.75" customHeight="1" x14ac:dyDescent="0.2">
      <c r="A474" s="1"/>
      <c r="B474" s="1"/>
      <c r="C474" s="6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1"/>
      <c r="T474" s="1"/>
      <c r="U474" s="1"/>
    </row>
    <row r="475" spans="1:21" ht="15.75" customHeight="1" x14ac:dyDescent="0.2">
      <c r="A475" s="1"/>
      <c r="B475" s="1"/>
      <c r="C475" s="6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1"/>
      <c r="T475" s="1"/>
      <c r="U475" s="1"/>
    </row>
    <row r="476" spans="1:21" ht="15.75" customHeight="1" x14ac:dyDescent="0.2">
      <c r="A476" s="1"/>
      <c r="B476" s="1"/>
      <c r="C476" s="6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1"/>
      <c r="T476" s="1"/>
      <c r="U476" s="1"/>
    </row>
    <row r="477" spans="1:21" ht="15.75" customHeight="1" x14ac:dyDescent="0.2">
      <c r="A477" s="1"/>
      <c r="B477" s="1"/>
      <c r="C477" s="6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1"/>
      <c r="T477" s="1"/>
      <c r="U477" s="1"/>
    </row>
    <row r="478" spans="1:21" ht="15.75" customHeight="1" x14ac:dyDescent="0.2">
      <c r="A478" s="1"/>
      <c r="B478" s="1"/>
      <c r="C478" s="6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1"/>
      <c r="T478" s="1"/>
      <c r="U478" s="1"/>
    </row>
    <row r="479" spans="1:21" ht="15.75" customHeight="1" x14ac:dyDescent="0.2">
      <c r="A479" s="1"/>
      <c r="B479" s="1"/>
      <c r="C479" s="6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1"/>
      <c r="T479" s="1"/>
      <c r="U479" s="1"/>
    </row>
    <row r="480" spans="1:21" ht="15.75" customHeight="1" x14ac:dyDescent="0.2">
      <c r="A480" s="1"/>
      <c r="B480" s="1"/>
      <c r="C480" s="6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1"/>
      <c r="T480" s="1"/>
      <c r="U480" s="1"/>
    </row>
    <row r="481" spans="1:21" ht="15.75" customHeight="1" x14ac:dyDescent="0.2">
      <c r="A481" s="1"/>
      <c r="B481" s="1"/>
      <c r="C481" s="6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1"/>
      <c r="T481" s="1"/>
      <c r="U481" s="1"/>
    </row>
    <row r="482" spans="1:21" ht="15.75" customHeight="1" x14ac:dyDescent="0.2">
      <c r="A482" s="1"/>
      <c r="B482" s="1"/>
      <c r="C482" s="6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1"/>
      <c r="T482" s="1"/>
      <c r="U482" s="1"/>
    </row>
    <row r="483" spans="1:21" ht="15.75" customHeight="1" x14ac:dyDescent="0.2">
      <c r="A483" s="1"/>
      <c r="B483" s="1"/>
      <c r="C483" s="6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1"/>
      <c r="T483" s="1"/>
      <c r="U483" s="1"/>
    </row>
    <row r="484" spans="1:21" ht="15.75" customHeight="1" x14ac:dyDescent="0.2">
      <c r="A484" s="1"/>
      <c r="B484" s="1"/>
      <c r="C484" s="6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1"/>
      <c r="T484" s="1"/>
      <c r="U484" s="1"/>
    </row>
    <row r="485" spans="1:21" ht="15.75" customHeight="1" x14ac:dyDescent="0.2">
      <c r="A485" s="1"/>
      <c r="B485" s="1"/>
      <c r="C485" s="6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1"/>
      <c r="T485" s="1"/>
      <c r="U485" s="1"/>
    </row>
    <row r="486" spans="1:21" ht="15.75" customHeight="1" x14ac:dyDescent="0.2">
      <c r="A486" s="1"/>
      <c r="B486" s="1"/>
      <c r="C486" s="6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1"/>
      <c r="T486" s="1"/>
      <c r="U486" s="1"/>
    </row>
    <row r="487" spans="1:21" ht="15.75" customHeight="1" x14ac:dyDescent="0.2">
      <c r="A487" s="1"/>
      <c r="B487" s="1"/>
      <c r="C487" s="6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1"/>
      <c r="T487" s="1"/>
      <c r="U487" s="1"/>
    </row>
    <row r="488" spans="1:21" ht="15.75" customHeight="1" x14ac:dyDescent="0.2">
      <c r="A488" s="1"/>
      <c r="B488" s="1"/>
      <c r="C488" s="6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1"/>
      <c r="T488" s="1"/>
      <c r="U488" s="1"/>
    </row>
    <row r="489" spans="1:21" ht="15.75" customHeight="1" x14ac:dyDescent="0.2">
      <c r="A489" s="1"/>
      <c r="B489" s="1"/>
      <c r="C489" s="6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1"/>
      <c r="T489" s="1"/>
      <c r="U489" s="1"/>
    </row>
    <row r="490" spans="1:21" ht="15.75" customHeight="1" x14ac:dyDescent="0.2">
      <c r="A490" s="1"/>
      <c r="B490" s="1"/>
      <c r="C490" s="6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1"/>
      <c r="T490" s="1"/>
      <c r="U490" s="1"/>
    </row>
    <row r="491" spans="1:21" ht="15.75" customHeight="1" x14ac:dyDescent="0.2">
      <c r="A491" s="1"/>
      <c r="B491" s="1"/>
      <c r="C491" s="6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1"/>
      <c r="T491" s="1"/>
      <c r="U491" s="1"/>
    </row>
    <row r="492" spans="1:21" ht="15.75" customHeight="1" x14ac:dyDescent="0.2">
      <c r="A492" s="1"/>
      <c r="B492" s="1"/>
      <c r="C492" s="6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1"/>
      <c r="T492" s="1"/>
      <c r="U492" s="1"/>
    </row>
    <row r="493" spans="1:21" ht="15.75" customHeight="1" x14ac:dyDescent="0.2">
      <c r="A493" s="1"/>
      <c r="B493" s="1"/>
      <c r="C493" s="6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1"/>
      <c r="T493" s="1"/>
      <c r="U493" s="1"/>
    </row>
    <row r="494" spans="1:21" ht="15.75" customHeight="1" x14ac:dyDescent="0.2">
      <c r="A494" s="1"/>
      <c r="B494" s="1"/>
      <c r="C494" s="6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1"/>
      <c r="T494" s="1"/>
      <c r="U494" s="1"/>
    </row>
    <row r="495" spans="1:21" ht="15.75" customHeight="1" x14ac:dyDescent="0.2">
      <c r="A495" s="1"/>
      <c r="B495" s="1"/>
      <c r="C495" s="6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1"/>
      <c r="T495" s="1"/>
      <c r="U495" s="1"/>
    </row>
    <row r="496" spans="1:21" ht="15.75" customHeight="1" x14ac:dyDescent="0.2">
      <c r="A496" s="1"/>
      <c r="B496" s="1"/>
      <c r="C496" s="6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1"/>
      <c r="T496" s="1"/>
      <c r="U496" s="1"/>
    </row>
    <row r="497" spans="1:21" ht="15.75" customHeight="1" x14ac:dyDescent="0.2">
      <c r="A497" s="1"/>
      <c r="B497" s="1"/>
      <c r="C497" s="6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1"/>
      <c r="T497" s="1"/>
      <c r="U497" s="1"/>
    </row>
    <row r="498" spans="1:21" ht="15.75" customHeight="1" x14ac:dyDescent="0.2">
      <c r="A498" s="1"/>
      <c r="B498" s="1"/>
      <c r="C498" s="6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1"/>
      <c r="T498" s="1"/>
      <c r="U498" s="1"/>
    </row>
    <row r="499" spans="1:21" ht="15.75" customHeight="1" x14ac:dyDescent="0.2">
      <c r="A499" s="1"/>
      <c r="B499" s="1"/>
      <c r="C499" s="6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1"/>
      <c r="T499" s="1"/>
      <c r="U499" s="1"/>
    </row>
    <row r="500" spans="1:21" ht="15.75" customHeight="1" x14ac:dyDescent="0.2">
      <c r="A500" s="1"/>
      <c r="B500" s="1"/>
      <c r="C500" s="6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1"/>
      <c r="T500" s="1"/>
      <c r="U500" s="1"/>
    </row>
    <row r="501" spans="1:21" ht="15.75" customHeight="1" x14ac:dyDescent="0.2">
      <c r="A501" s="1"/>
      <c r="B501" s="1"/>
      <c r="C501" s="6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1"/>
      <c r="T501" s="1"/>
      <c r="U501" s="1"/>
    </row>
    <row r="502" spans="1:21" ht="15.75" customHeight="1" x14ac:dyDescent="0.2">
      <c r="A502" s="1"/>
      <c r="B502" s="1"/>
      <c r="C502" s="6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1"/>
      <c r="T502" s="1"/>
      <c r="U502" s="1"/>
    </row>
    <row r="503" spans="1:21" ht="15.75" customHeight="1" x14ac:dyDescent="0.2">
      <c r="A503" s="1"/>
      <c r="B503" s="1"/>
      <c r="C503" s="6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1"/>
      <c r="T503" s="1"/>
      <c r="U503" s="1"/>
    </row>
    <row r="504" spans="1:21" ht="15.75" customHeight="1" x14ac:dyDescent="0.2">
      <c r="A504" s="1"/>
      <c r="B504" s="1"/>
      <c r="C504" s="6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1"/>
      <c r="T504" s="1"/>
      <c r="U504" s="1"/>
    </row>
    <row r="505" spans="1:21" ht="15.75" customHeight="1" x14ac:dyDescent="0.2">
      <c r="A505" s="1"/>
      <c r="B505" s="1"/>
      <c r="C505" s="6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1"/>
      <c r="T505" s="1"/>
      <c r="U505" s="1"/>
    </row>
    <row r="506" spans="1:21" ht="15.75" customHeight="1" x14ac:dyDescent="0.2">
      <c r="A506" s="1"/>
      <c r="B506" s="1"/>
      <c r="C506" s="6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1"/>
      <c r="T506" s="1"/>
      <c r="U506" s="1"/>
    </row>
    <row r="507" spans="1:21" ht="15.75" customHeight="1" x14ac:dyDescent="0.2">
      <c r="A507" s="1"/>
      <c r="B507" s="1"/>
      <c r="C507" s="6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1"/>
      <c r="T507" s="1"/>
      <c r="U507" s="1"/>
    </row>
    <row r="508" spans="1:21" ht="15.75" customHeight="1" x14ac:dyDescent="0.2">
      <c r="A508" s="1"/>
      <c r="B508" s="1"/>
      <c r="C508" s="6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1"/>
      <c r="T508" s="1"/>
      <c r="U508" s="1"/>
    </row>
    <row r="509" spans="1:21" ht="15.75" customHeight="1" x14ac:dyDescent="0.2">
      <c r="A509" s="1"/>
      <c r="B509" s="1"/>
      <c r="C509" s="6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1"/>
      <c r="T509" s="1"/>
      <c r="U509" s="1"/>
    </row>
    <row r="510" spans="1:21" ht="15.75" customHeight="1" x14ac:dyDescent="0.2">
      <c r="A510" s="1"/>
      <c r="B510" s="1"/>
      <c r="C510" s="6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1"/>
      <c r="T510" s="1"/>
      <c r="U510" s="1"/>
    </row>
    <row r="511" spans="1:21" ht="15.75" customHeight="1" x14ac:dyDescent="0.2">
      <c r="A511" s="1"/>
      <c r="B511" s="1"/>
      <c r="C511" s="6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1"/>
      <c r="T511" s="1"/>
      <c r="U511" s="1"/>
    </row>
    <row r="512" spans="1:21" ht="15.75" customHeight="1" x14ac:dyDescent="0.2">
      <c r="A512" s="1"/>
      <c r="B512" s="1"/>
      <c r="C512" s="6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1"/>
      <c r="T512" s="1"/>
      <c r="U512" s="1"/>
    </row>
    <row r="513" spans="1:21" ht="15.75" customHeight="1" x14ac:dyDescent="0.2">
      <c r="A513" s="1"/>
      <c r="B513" s="1"/>
      <c r="C513" s="6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1"/>
      <c r="T513" s="1"/>
      <c r="U513" s="1"/>
    </row>
    <row r="514" spans="1:21" ht="15.75" customHeight="1" x14ac:dyDescent="0.2">
      <c r="A514" s="1"/>
      <c r="B514" s="1"/>
      <c r="C514" s="6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1"/>
      <c r="T514" s="1"/>
      <c r="U514" s="1"/>
    </row>
    <row r="515" spans="1:21" ht="15.75" customHeight="1" x14ac:dyDescent="0.2">
      <c r="A515" s="1"/>
      <c r="B515" s="1"/>
      <c r="C515" s="6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1"/>
      <c r="T515" s="1"/>
      <c r="U515" s="1"/>
    </row>
    <row r="516" spans="1:21" ht="15.75" customHeight="1" x14ac:dyDescent="0.2">
      <c r="A516" s="1"/>
      <c r="B516" s="1"/>
      <c r="C516" s="6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1"/>
      <c r="T516" s="1"/>
      <c r="U516" s="1"/>
    </row>
    <row r="517" spans="1:21" ht="15.75" customHeight="1" x14ac:dyDescent="0.2">
      <c r="A517" s="1"/>
      <c r="B517" s="1"/>
      <c r="C517" s="6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1"/>
      <c r="T517" s="1"/>
      <c r="U517" s="1"/>
    </row>
    <row r="518" spans="1:21" ht="15.75" customHeight="1" x14ac:dyDescent="0.2">
      <c r="A518" s="1"/>
      <c r="B518" s="1"/>
      <c r="C518" s="6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1"/>
      <c r="T518" s="1"/>
      <c r="U518" s="1"/>
    </row>
    <row r="519" spans="1:21" ht="15.75" customHeight="1" x14ac:dyDescent="0.2">
      <c r="A519" s="1"/>
      <c r="B519" s="1"/>
      <c r="C519" s="6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1"/>
      <c r="T519" s="1"/>
      <c r="U519" s="1"/>
    </row>
    <row r="520" spans="1:21" ht="15.75" customHeight="1" x14ac:dyDescent="0.2">
      <c r="A520" s="1"/>
      <c r="B520" s="1"/>
      <c r="C520" s="6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1"/>
      <c r="T520" s="1"/>
      <c r="U520" s="1"/>
    </row>
    <row r="521" spans="1:21" ht="15.75" customHeight="1" x14ac:dyDescent="0.2">
      <c r="A521" s="1"/>
      <c r="B521" s="1"/>
      <c r="C521" s="6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1"/>
      <c r="T521" s="1"/>
      <c r="U521" s="1"/>
    </row>
    <row r="522" spans="1:21" ht="15.75" customHeight="1" x14ac:dyDescent="0.2">
      <c r="A522" s="1"/>
      <c r="B522" s="1"/>
      <c r="C522" s="6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1"/>
      <c r="T522" s="1"/>
      <c r="U522" s="1"/>
    </row>
    <row r="523" spans="1:21" ht="15.75" customHeight="1" x14ac:dyDescent="0.2">
      <c r="A523" s="1"/>
      <c r="B523" s="1"/>
      <c r="C523" s="6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1"/>
      <c r="T523" s="1"/>
      <c r="U523" s="1"/>
    </row>
    <row r="524" spans="1:21" ht="15.75" customHeight="1" x14ac:dyDescent="0.2">
      <c r="A524" s="1"/>
      <c r="B524" s="1"/>
      <c r="C524" s="6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1"/>
      <c r="T524" s="1"/>
      <c r="U524" s="1"/>
    </row>
    <row r="525" spans="1:21" ht="15.75" customHeight="1" x14ac:dyDescent="0.2">
      <c r="A525" s="1"/>
      <c r="B525" s="1"/>
      <c r="C525" s="6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1"/>
      <c r="T525" s="1"/>
      <c r="U525" s="1"/>
    </row>
    <row r="526" spans="1:21" ht="15.75" customHeight="1" x14ac:dyDescent="0.2">
      <c r="A526" s="1"/>
      <c r="B526" s="1"/>
      <c r="C526" s="6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1"/>
      <c r="T526" s="1"/>
      <c r="U526" s="1"/>
    </row>
    <row r="527" spans="1:21" ht="15.75" customHeight="1" x14ac:dyDescent="0.2">
      <c r="A527" s="1"/>
      <c r="B527" s="1"/>
      <c r="C527" s="6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1"/>
      <c r="T527" s="1"/>
      <c r="U527" s="1"/>
    </row>
    <row r="528" spans="1:21" ht="15.75" customHeight="1" x14ac:dyDescent="0.2">
      <c r="A528" s="1"/>
      <c r="B528" s="1"/>
      <c r="C528" s="6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1"/>
      <c r="T528" s="1"/>
      <c r="U528" s="1"/>
    </row>
    <row r="529" spans="1:21" ht="15.75" customHeight="1" x14ac:dyDescent="0.2">
      <c r="A529" s="1"/>
      <c r="B529" s="1"/>
      <c r="C529" s="6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1"/>
      <c r="T529" s="1"/>
      <c r="U529" s="1"/>
    </row>
    <row r="530" spans="1:21" ht="15.75" customHeight="1" x14ac:dyDescent="0.2">
      <c r="A530" s="1"/>
      <c r="B530" s="1"/>
      <c r="C530" s="6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1"/>
      <c r="T530" s="1"/>
      <c r="U530" s="1"/>
    </row>
    <row r="531" spans="1:21" ht="15.75" customHeight="1" x14ac:dyDescent="0.2">
      <c r="A531" s="1"/>
      <c r="B531" s="1"/>
      <c r="C531" s="6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1"/>
      <c r="T531" s="1"/>
      <c r="U531" s="1"/>
    </row>
    <row r="532" spans="1:21" ht="15.75" customHeight="1" x14ac:dyDescent="0.2">
      <c r="A532" s="1"/>
      <c r="B532" s="1"/>
      <c r="C532" s="6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1"/>
      <c r="T532" s="1"/>
      <c r="U532" s="1"/>
    </row>
    <row r="533" spans="1:21" ht="15.75" customHeight="1" x14ac:dyDescent="0.2">
      <c r="A533" s="1"/>
      <c r="B533" s="1"/>
      <c r="C533" s="6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1"/>
      <c r="T533" s="1"/>
      <c r="U533" s="1"/>
    </row>
    <row r="534" spans="1:21" ht="15.75" customHeight="1" x14ac:dyDescent="0.2">
      <c r="A534" s="1"/>
      <c r="B534" s="1"/>
      <c r="C534" s="6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1"/>
      <c r="T534" s="1"/>
      <c r="U534" s="1"/>
    </row>
    <row r="535" spans="1:21" ht="15.75" customHeight="1" x14ac:dyDescent="0.2">
      <c r="A535" s="1"/>
      <c r="B535" s="1"/>
      <c r="C535" s="6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1"/>
      <c r="T535" s="1"/>
      <c r="U535" s="1"/>
    </row>
    <row r="536" spans="1:21" ht="15.75" customHeight="1" x14ac:dyDescent="0.2">
      <c r="A536" s="1"/>
      <c r="B536" s="1"/>
      <c r="C536" s="6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1"/>
      <c r="T536" s="1"/>
      <c r="U536" s="1"/>
    </row>
    <row r="537" spans="1:21" ht="15.75" customHeight="1" x14ac:dyDescent="0.2">
      <c r="A537" s="1"/>
      <c r="B537" s="1"/>
      <c r="C537" s="6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1"/>
      <c r="T537" s="1"/>
      <c r="U537" s="1"/>
    </row>
    <row r="538" spans="1:21" ht="15.75" customHeight="1" x14ac:dyDescent="0.2">
      <c r="A538" s="1"/>
      <c r="B538" s="1"/>
      <c r="C538" s="6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1"/>
      <c r="T538" s="1"/>
      <c r="U538" s="1"/>
    </row>
    <row r="539" spans="1:21" ht="15.75" customHeight="1" x14ac:dyDescent="0.2">
      <c r="A539" s="1"/>
      <c r="B539" s="1"/>
      <c r="C539" s="6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1"/>
      <c r="T539" s="1"/>
      <c r="U539" s="1"/>
    </row>
    <row r="540" spans="1:21" ht="15.75" customHeight="1" x14ac:dyDescent="0.2">
      <c r="A540" s="1"/>
      <c r="B540" s="1"/>
      <c r="C540" s="6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1"/>
      <c r="T540" s="1"/>
      <c r="U540" s="1"/>
    </row>
    <row r="541" spans="1:21" ht="15.75" customHeight="1" x14ac:dyDescent="0.2">
      <c r="A541" s="1"/>
      <c r="B541" s="1"/>
      <c r="C541" s="6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1"/>
      <c r="T541" s="1"/>
      <c r="U541" s="1"/>
    </row>
    <row r="542" spans="1:21" ht="15.75" customHeight="1" x14ac:dyDescent="0.2">
      <c r="A542" s="1"/>
      <c r="B542" s="1"/>
      <c r="C542" s="6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1"/>
      <c r="T542" s="1"/>
      <c r="U542" s="1"/>
    </row>
    <row r="543" spans="1:21" ht="15.75" customHeight="1" x14ac:dyDescent="0.2">
      <c r="A543" s="1"/>
      <c r="B543" s="1"/>
      <c r="C543" s="6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1"/>
      <c r="T543" s="1"/>
      <c r="U543" s="1"/>
    </row>
    <row r="544" spans="1:21" ht="15.75" customHeight="1" x14ac:dyDescent="0.2">
      <c r="A544" s="1"/>
      <c r="B544" s="1"/>
      <c r="C544" s="6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1"/>
      <c r="T544" s="1"/>
      <c r="U544" s="1"/>
    </row>
    <row r="545" spans="1:21" ht="15.75" customHeight="1" x14ac:dyDescent="0.2">
      <c r="A545" s="1"/>
      <c r="B545" s="1"/>
      <c r="C545" s="6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1"/>
      <c r="T545" s="1"/>
      <c r="U545" s="1"/>
    </row>
    <row r="546" spans="1:21" ht="15.75" customHeight="1" x14ac:dyDescent="0.2">
      <c r="A546" s="1"/>
      <c r="B546" s="1"/>
      <c r="C546" s="6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1"/>
      <c r="T546" s="1"/>
      <c r="U546" s="1"/>
    </row>
    <row r="547" spans="1:21" ht="15.75" customHeight="1" x14ac:dyDescent="0.2">
      <c r="A547" s="1"/>
      <c r="B547" s="1"/>
      <c r="C547" s="6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1"/>
      <c r="T547" s="1"/>
      <c r="U547" s="1"/>
    </row>
    <row r="548" spans="1:21" ht="15.75" customHeight="1" x14ac:dyDescent="0.2">
      <c r="A548" s="1"/>
      <c r="B548" s="1"/>
      <c r="C548" s="6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1"/>
      <c r="T548" s="1"/>
      <c r="U548" s="1"/>
    </row>
    <row r="549" spans="1:21" ht="15.75" customHeight="1" x14ac:dyDescent="0.2">
      <c r="A549" s="1"/>
      <c r="B549" s="1"/>
      <c r="C549" s="6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1"/>
      <c r="T549" s="1"/>
      <c r="U549" s="1"/>
    </row>
    <row r="550" spans="1:21" ht="15.75" customHeight="1" x14ac:dyDescent="0.2">
      <c r="A550" s="1"/>
      <c r="B550" s="1"/>
      <c r="C550" s="6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1"/>
      <c r="T550" s="1"/>
      <c r="U550" s="1"/>
    </row>
    <row r="551" spans="1:21" ht="15.75" customHeight="1" x14ac:dyDescent="0.2">
      <c r="A551" s="1"/>
      <c r="B551" s="1"/>
      <c r="C551" s="6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1"/>
      <c r="T551" s="1"/>
      <c r="U551" s="1"/>
    </row>
    <row r="552" spans="1:21" ht="15.75" customHeight="1" x14ac:dyDescent="0.2">
      <c r="A552" s="1"/>
      <c r="B552" s="1"/>
      <c r="C552" s="6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1"/>
      <c r="T552" s="1"/>
      <c r="U552" s="1"/>
    </row>
    <row r="553" spans="1:21" ht="15.75" customHeight="1" x14ac:dyDescent="0.2">
      <c r="A553" s="1"/>
      <c r="B553" s="1"/>
      <c r="C553" s="6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1"/>
      <c r="T553" s="1"/>
      <c r="U553" s="1"/>
    </row>
    <row r="554" spans="1:21" ht="15.75" customHeight="1" x14ac:dyDescent="0.2">
      <c r="A554" s="1"/>
      <c r="B554" s="1"/>
      <c r="C554" s="6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1"/>
      <c r="T554" s="1"/>
      <c r="U554" s="1"/>
    </row>
    <row r="555" spans="1:21" ht="15.75" customHeight="1" x14ac:dyDescent="0.2">
      <c r="A555" s="1"/>
      <c r="B555" s="1"/>
      <c r="C555" s="6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1"/>
      <c r="T555" s="1"/>
      <c r="U555" s="1"/>
    </row>
    <row r="556" spans="1:21" ht="15.75" customHeight="1" x14ac:dyDescent="0.2">
      <c r="A556" s="1"/>
      <c r="B556" s="1"/>
      <c r="C556" s="6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1"/>
      <c r="T556" s="1"/>
      <c r="U556" s="1"/>
    </row>
    <row r="557" spans="1:21" ht="15.75" customHeight="1" x14ac:dyDescent="0.2">
      <c r="A557" s="1"/>
      <c r="B557" s="1"/>
      <c r="C557" s="6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1"/>
      <c r="T557" s="1"/>
      <c r="U557" s="1"/>
    </row>
    <row r="558" spans="1:21" ht="15.75" customHeight="1" x14ac:dyDescent="0.2">
      <c r="A558" s="1"/>
      <c r="B558" s="1"/>
      <c r="C558" s="6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1"/>
      <c r="T558" s="1"/>
      <c r="U558" s="1"/>
    </row>
    <row r="559" spans="1:21" ht="15.75" customHeight="1" x14ac:dyDescent="0.2">
      <c r="A559" s="1"/>
      <c r="B559" s="1"/>
      <c r="C559" s="6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1"/>
      <c r="T559" s="1"/>
      <c r="U559" s="1"/>
    </row>
    <row r="560" spans="1:21" ht="15.75" customHeight="1" x14ac:dyDescent="0.2">
      <c r="A560" s="1"/>
      <c r="B560" s="1"/>
      <c r="C560" s="6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1"/>
      <c r="T560" s="1"/>
      <c r="U560" s="1"/>
    </row>
    <row r="561" spans="1:21" ht="15.75" customHeight="1" x14ac:dyDescent="0.2">
      <c r="A561" s="1"/>
      <c r="B561" s="1"/>
      <c r="C561" s="6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1"/>
      <c r="T561" s="1"/>
      <c r="U561" s="1"/>
    </row>
    <row r="562" spans="1:21" ht="15.75" customHeight="1" x14ac:dyDescent="0.2">
      <c r="A562" s="1"/>
      <c r="B562" s="1"/>
      <c r="C562" s="6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1"/>
      <c r="T562" s="1"/>
      <c r="U562" s="1"/>
    </row>
    <row r="563" spans="1:21" ht="15.75" customHeight="1" x14ac:dyDescent="0.2">
      <c r="A563" s="1"/>
      <c r="B563" s="1"/>
      <c r="C563" s="6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1"/>
      <c r="T563" s="1"/>
      <c r="U563" s="1"/>
    </row>
    <row r="564" spans="1:21" ht="15.75" customHeight="1" x14ac:dyDescent="0.2">
      <c r="A564" s="1"/>
      <c r="B564" s="1"/>
      <c r="C564" s="6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1"/>
      <c r="T564" s="1"/>
      <c r="U564" s="1"/>
    </row>
    <row r="565" spans="1:21" ht="15.75" customHeight="1" x14ac:dyDescent="0.2">
      <c r="A565" s="1"/>
      <c r="B565" s="1"/>
      <c r="C565" s="6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1"/>
      <c r="T565" s="1"/>
      <c r="U565" s="1"/>
    </row>
    <row r="566" spans="1:21" ht="15.75" customHeight="1" x14ac:dyDescent="0.2">
      <c r="A566" s="1"/>
      <c r="B566" s="1"/>
      <c r="C566" s="6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1"/>
      <c r="T566" s="1"/>
      <c r="U566" s="1"/>
    </row>
    <row r="567" spans="1:21" ht="15.75" customHeight="1" x14ac:dyDescent="0.2">
      <c r="A567" s="1"/>
      <c r="B567" s="1"/>
      <c r="C567" s="6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1"/>
      <c r="T567" s="1"/>
      <c r="U567" s="1"/>
    </row>
    <row r="568" spans="1:21" ht="15.75" customHeight="1" x14ac:dyDescent="0.2">
      <c r="A568" s="1"/>
      <c r="B568" s="1"/>
      <c r="C568" s="6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1"/>
      <c r="T568" s="1"/>
      <c r="U568" s="1"/>
    </row>
    <row r="569" spans="1:21" ht="15.75" customHeight="1" x14ac:dyDescent="0.2">
      <c r="A569" s="1"/>
      <c r="B569" s="1"/>
      <c r="C569" s="6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1"/>
      <c r="T569" s="1"/>
      <c r="U569" s="1"/>
    </row>
    <row r="570" spans="1:21" ht="15.75" customHeight="1" x14ac:dyDescent="0.2">
      <c r="A570" s="1"/>
      <c r="B570" s="1"/>
      <c r="C570" s="6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1"/>
      <c r="T570" s="1"/>
      <c r="U570" s="1"/>
    </row>
    <row r="571" spans="1:21" ht="15.75" customHeight="1" x14ac:dyDescent="0.2">
      <c r="A571" s="1"/>
      <c r="B571" s="1"/>
      <c r="C571" s="6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1"/>
      <c r="T571" s="1"/>
      <c r="U571" s="1"/>
    </row>
    <row r="572" spans="1:21" ht="15.75" customHeight="1" x14ac:dyDescent="0.2">
      <c r="A572" s="1"/>
      <c r="B572" s="1"/>
      <c r="C572" s="6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1"/>
      <c r="T572" s="1"/>
      <c r="U572" s="1"/>
    </row>
    <row r="573" spans="1:21" ht="15.75" customHeight="1" x14ac:dyDescent="0.2">
      <c r="A573" s="1"/>
      <c r="B573" s="1"/>
      <c r="C573" s="6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1"/>
      <c r="T573" s="1"/>
      <c r="U573" s="1"/>
    </row>
    <row r="574" spans="1:21" ht="15.75" customHeight="1" x14ac:dyDescent="0.2">
      <c r="A574" s="1"/>
      <c r="B574" s="1"/>
      <c r="C574" s="6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1"/>
      <c r="T574" s="1"/>
      <c r="U574" s="1"/>
    </row>
    <row r="575" spans="1:21" ht="15.75" customHeight="1" x14ac:dyDescent="0.2">
      <c r="A575" s="1"/>
      <c r="B575" s="1"/>
      <c r="C575" s="6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1"/>
      <c r="T575" s="1"/>
      <c r="U575" s="1"/>
    </row>
    <row r="576" spans="1:21" ht="15.75" customHeight="1" x14ac:dyDescent="0.2">
      <c r="A576" s="1"/>
      <c r="B576" s="1"/>
      <c r="C576" s="6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1"/>
      <c r="T576" s="1"/>
      <c r="U576" s="1"/>
    </row>
    <row r="577" spans="1:21" ht="15.75" customHeight="1" x14ac:dyDescent="0.2">
      <c r="A577" s="1"/>
      <c r="B577" s="1"/>
      <c r="C577" s="6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1"/>
      <c r="T577" s="1"/>
      <c r="U577" s="1"/>
    </row>
    <row r="578" spans="1:21" ht="15.75" customHeight="1" x14ac:dyDescent="0.2">
      <c r="A578" s="1"/>
      <c r="B578" s="1"/>
      <c r="C578" s="6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1"/>
      <c r="T578" s="1"/>
      <c r="U578" s="1"/>
    </row>
    <row r="579" spans="1:21" ht="15.75" customHeight="1" x14ac:dyDescent="0.2">
      <c r="A579" s="1"/>
      <c r="B579" s="1"/>
      <c r="C579" s="6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1"/>
      <c r="T579" s="1"/>
      <c r="U579" s="1"/>
    </row>
    <row r="580" spans="1:21" ht="15.75" customHeight="1" x14ac:dyDescent="0.2">
      <c r="A580" s="1"/>
      <c r="B580" s="1"/>
      <c r="C580" s="6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1"/>
      <c r="T580" s="1"/>
      <c r="U580" s="1"/>
    </row>
    <row r="581" spans="1:21" ht="15.75" customHeight="1" x14ac:dyDescent="0.2">
      <c r="A581" s="1"/>
      <c r="B581" s="1"/>
      <c r="C581" s="6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1"/>
      <c r="T581" s="1"/>
      <c r="U581" s="1"/>
    </row>
    <row r="582" spans="1:21" ht="15.75" customHeight="1" x14ac:dyDescent="0.2">
      <c r="A582" s="1"/>
      <c r="B582" s="1"/>
      <c r="C582" s="6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1"/>
      <c r="T582" s="1"/>
      <c r="U582" s="1"/>
    </row>
    <row r="583" spans="1:21" ht="15.75" customHeight="1" x14ac:dyDescent="0.2">
      <c r="A583" s="1"/>
      <c r="B583" s="1"/>
      <c r="C583" s="6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1"/>
      <c r="T583" s="1"/>
      <c r="U583" s="1"/>
    </row>
    <row r="584" spans="1:21" ht="15.75" customHeight="1" x14ac:dyDescent="0.2">
      <c r="A584" s="1"/>
      <c r="B584" s="1"/>
      <c r="C584" s="6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1"/>
      <c r="T584" s="1"/>
      <c r="U584" s="1"/>
    </row>
    <row r="585" spans="1:21" ht="15.75" customHeight="1" x14ac:dyDescent="0.2">
      <c r="A585" s="1"/>
      <c r="B585" s="1"/>
      <c r="C585" s="6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1"/>
      <c r="T585" s="1"/>
      <c r="U585" s="1"/>
    </row>
    <row r="586" spans="1:21" ht="15.75" customHeight="1" x14ac:dyDescent="0.2">
      <c r="A586" s="1"/>
      <c r="B586" s="1"/>
      <c r="C586" s="6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1"/>
      <c r="T586" s="1"/>
      <c r="U586" s="1"/>
    </row>
    <row r="587" spans="1:21" ht="15.75" customHeight="1" x14ac:dyDescent="0.2">
      <c r="A587" s="1"/>
      <c r="B587" s="1"/>
      <c r="C587" s="6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1"/>
      <c r="T587" s="1"/>
      <c r="U587" s="1"/>
    </row>
    <row r="588" spans="1:21" ht="15.75" customHeight="1" x14ac:dyDescent="0.2">
      <c r="A588" s="1"/>
      <c r="B588" s="1"/>
      <c r="C588" s="6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1"/>
      <c r="T588" s="1"/>
      <c r="U588" s="1"/>
    </row>
    <row r="589" spans="1:21" ht="15.75" customHeight="1" x14ac:dyDescent="0.2">
      <c r="A589" s="1"/>
      <c r="B589" s="1"/>
      <c r="C589" s="6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1"/>
      <c r="T589" s="1"/>
      <c r="U589" s="1"/>
    </row>
    <row r="590" spans="1:21" ht="15.75" customHeight="1" x14ac:dyDescent="0.2">
      <c r="A590" s="1"/>
      <c r="B590" s="1"/>
      <c r="C590" s="6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1"/>
      <c r="T590" s="1"/>
      <c r="U590" s="1"/>
    </row>
    <row r="591" spans="1:21" ht="15.75" customHeight="1" x14ac:dyDescent="0.2">
      <c r="A591" s="1"/>
      <c r="B591" s="1"/>
      <c r="C591" s="6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1"/>
      <c r="T591" s="1"/>
      <c r="U591" s="1"/>
    </row>
    <row r="592" spans="1:21" ht="15.75" customHeight="1" x14ac:dyDescent="0.2">
      <c r="A592" s="1"/>
      <c r="B592" s="1"/>
      <c r="C592" s="6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1"/>
      <c r="T592" s="1"/>
      <c r="U592" s="1"/>
    </row>
    <row r="593" spans="1:21" ht="15.75" customHeight="1" x14ac:dyDescent="0.2">
      <c r="A593" s="1"/>
      <c r="B593" s="1"/>
      <c r="C593" s="6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1"/>
      <c r="T593" s="1"/>
      <c r="U593" s="1"/>
    </row>
    <row r="594" spans="1:21" ht="15.75" customHeight="1" x14ac:dyDescent="0.2">
      <c r="A594" s="1"/>
      <c r="B594" s="1"/>
      <c r="C594" s="6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1"/>
      <c r="T594" s="1"/>
      <c r="U594" s="1"/>
    </row>
    <row r="595" spans="1:21" ht="15.75" customHeight="1" x14ac:dyDescent="0.2">
      <c r="A595" s="1"/>
      <c r="B595" s="1"/>
      <c r="C595" s="6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1"/>
      <c r="T595" s="1"/>
      <c r="U595" s="1"/>
    </row>
    <row r="596" spans="1:21" ht="15.75" customHeight="1" x14ac:dyDescent="0.2">
      <c r="A596" s="1"/>
      <c r="B596" s="1"/>
      <c r="C596" s="6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1"/>
      <c r="T596" s="1"/>
      <c r="U596" s="1"/>
    </row>
    <row r="597" spans="1:21" ht="15.75" customHeight="1" x14ac:dyDescent="0.2">
      <c r="A597" s="1"/>
      <c r="B597" s="1"/>
      <c r="C597" s="6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1"/>
      <c r="T597" s="1"/>
      <c r="U597" s="1"/>
    </row>
    <row r="598" spans="1:21" ht="15.75" customHeight="1" x14ac:dyDescent="0.2">
      <c r="A598" s="1"/>
      <c r="B598" s="1"/>
      <c r="C598" s="6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1"/>
      <c r="T598" s="1"/>
      <c r="U598" s="1"/>
    </row>
    <row r="599" spans="1:21" ht="15.75" customHeight="1" x14ac:dyDescent="0.2">
      <c r="A599" s="1"/>
      <c r="B599" s="1"/>
      <c r="C599" s="6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1"/>
      <c r="T599" s="1"/>
      <c r="U599" s="1"/>
    </row>
    <row r="600" spans="1:21" ht="15.75" customHeight="1" x14ac:dyDescent="0.2">
      <c r="A600" s="1"/>
      <c r="B600" s="1"/>
      <c r="C600" s="6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1"/>
      <c r="T600" s="1"/>
      <c r="U600" s="1"/>
    </row>
    <row r="601" spans="1:21" ht="15.75" customHeight="1" x14ac:dyDescent="0.2">
      <c r="A601" s="1"/>
      <c r="B601" s="1"/>
      <c r="C601" s="6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1"/>
      <c r="T601" s="1"/>
      <c r="U601" s="1"/>
    </row>
    <row r="602" spans="1:21" ht="15.75" customHeight="1" x14ac:dyDescent="0.2">
      <c r="A602" s="1"/>
      <c r="B602" s="1"/>
      <c r="C602" s="6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1"/>
      <c r="T602" s="1"/>
      <c r="U602" s="1"/>
    </row>
    <row r="603" spans="1:21" ht="15.75" customHeight="1" x14ac:dyDescent="0.2">
      <c r="A603" s="1"/>
      <c r="B603" s="1"/>
      <c r="C603" s="6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1"/>
      <c r="T603" s="1"/>
      <c r="U603" s="1"/>
    </row>
    <row r="604" spans="1:21" ht="15.75" customHeight="1" x14ac:dyDescent="0.2">
      <c r="A604" s="1"/>
      <c r="B604" s="1"/>
      <c r="C604" s="6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1"/>
      <c r="T604" s="1"/>
      <c r="U604" s="1"/>
    </row>
    <row r="605" spans="1:21" ht="15.75" customHeight="1" x14ac:dyDescent="0.2">
      <c r="A605" s="1"/>
      <c r="B605" s="1"/>
      <c r="C605" s="6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1"/>
      <c r="T605" s="1"/>
      <c r="U605" s="1"/>
    </row>
    <row r="606" spans="1:21" ht="15.75" customHeight="1" x14ac:dyDescent="0.2">
      <c r="A606" s="1"/>
      <c r="B606" s="1"/>
      <c r="C606" s="6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1"/>
      <c r="T606" s="1"/>
      <c r="U606" s="1"/>
    </row>
    <row r="607" spans="1:21" ht="15.75" customHeight="1" x14ac:dyDescent="0.2">
      <c r="A607" s="1"/>
      <c r="B607" s="1"/>
      <c r="C607" s="6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1"/>
      <c r="T607" s="1"/>
      <c r="U607" s="1"/>
    </row>
    <row r="608" spans="1:21" ht="15.75" customHeight="1" x14ac:dyDescent="0.2">
      <c r="A608" s="1"/>
      <c r="B608" s="1"/>
      <c r="C608" s="6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1"/>
      <c r="T608" s="1"/>
      <c r="U608" s="1"/>
    </row>
    <row r="609" spans="1:21" ht="15.75" customHeight="1" x14ac:dyDescent="0.2">
      <c r="A609" s="1"/>
      <c r="B609" s="1"/>
      <c r="C609" s="6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1"/>
      <c r="T609" s="1"/>
      <c r="U609" s="1"/>
    </row>
    <row r="610" spans="1:21" ht="15.75" customHeight="1" x14ac:dyDescent="0.2">
      <c r="A610" s="1"/>
      <c r="B610" s="1"/>
      <c r="C610" s="6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1"/>
      <c r="T610" s="1"/>
      <c r="U610" s="1"/>
    </row>
    <row r="611" spans="1:21" ht="15.75" customHeight="1" x14ac:dyDescent="0.2">
      <c r="A611" s="1"/>
      <c r="B611" s="1"/>
      <c r="C611" s="6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1"/>
      <c r="T611" s="1"/>
      <c r="U611" s="1"/>
    </row>
    <row r="612" spans="1:21" ht="15.75" customHeight="1" x14ac:dyDescent="0.2">
      <c r="A612" s="1"/>
      <c r="B612" s="1"/>
      <c r="C612" s="6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1"/>
      <c r="T612" s="1"/>
      <c r="U612" s="1"/>
    </row>
    <row r="613" spans="1:21" ht="15.75" customHeight="1" x14ac:dyDescent="0.2">
      <c r="A613" s="1"/>
      <c r="B613" s="1"/>
      <c r="C613" s="6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1"/>
      <c r="T613" s="1"/>
      <c r="U613" s="1"/>
    </row>
    <row r="614" spans="1:21" ht="15.75" customHeight="1" x14ac:dyDescent="0.2">
      <c r="A614" s="1"/>
      <c r="B614" s="1"/>
      <c r="C614" s="6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1"/>
      <c r="T614" s="1"/>
      <c r="U614" s="1"/>
    </row>
    <row r="615" spans="1:21" ht="15.75" customHeight="1" x14ac:dyDescent="0.2">
      <c r="A615" s="1"/>
      <c r="B615" s="1"/>
      <c r="C615" s="6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1"/>
      <c r="T615" s="1"/>
      <c r="U615" s="1"/>
    </row>
    <row r="616" spans="1:21" ht="15.75" customHeight="1" x14ac:dyDescent="0.2">
      <c r="A616" s="1"/>
      <c r="B616" s="1"/>
      <c r="C616" s="6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1"/>
      <c r="T616" s="1"/>
      <c r="U616" s="1"/>
    </row>
    <row r="617" spans="1:21" ht="15.75" customHeight="1" x14ac:dyDescent="0.2">
      <c r="A617" s="1"/>
      <c r="B617" s="1"/>
      <c r="C617" s="6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1"/>
      <c r="T617" s="1"/>
      <c r="U617" s="1"/>
    </row>
    <row r="618" spans="1:21" ht="15.75" customHeight="1" x14ac:dyDescent="0.2">
      <c r="A618" s="1"/>
      <c r="B618" s="1"/>
      <c r="C618" s="6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1"/>
      <c r="T618" s="1"/>
      <c r="U618" s="1"/>
    </row>
    <row r="619" spans="1:21" ht="15.75" customHeight="1" x14ac:dyDescent="0.2">
      <c r="A619" s="1"/>
      <c r="B619" s="1"/>
      <c r="C619" s="6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1"/>
      <c r="T619" s="1"/>
      <c r="U619" s="1"/>
    </row>
    <row r="620" spans="1:21" ht="15.75" customHeight="1" x14ac:dyDescent="0.2">
      <c r="A620" s="1"/>
      <c r="B620" s="1"/>
      <c r="C620" s="6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1"/>
      <c r="T620" s="1"/>
      <c r="U620" s="1"/>
    </row>
    <row r="621" spans="1:21" ht="15.75" customHeight="1" x14ac:dyDescent="0.2">
      <c r="A621" s="1"/>
      <c r="B621" s="1"/>
      <c r="C621" s="6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1"/>
      <c r="T621" s="1"/>
      <c r="U621" s="1"/>
    </row>
    <row r="622" spans="1:21" ht="15.75" customHeight="1" x14ac:dyDescent="0.2">
      <c r="A622" s="1"/>
      <c r="B622" s="1"/>
      <c r="C622" s="6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1"/>
      <c r="T622" s="1"/>
      <c r="U622" s="1"/>
    </row>
    <row r="623" spans="1:21" ht="15.75" customHeight="1" x14ac:dyDescent="0.2">
      <c r="A623" s="1"/>
      <c r="B623" s="1"/>
      <c r="C623" s="6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1"/>
      <c r="T623" s="1"/>
      <c r="U623" s="1"/>
    </row>
    <row r="624" spans="1:21" ht="15.75" customHeight="1" x14ac:dyDescent="0.2">
      <c r="A624" s="1"/>
      <c r="B624" s="1"/>
      <c r="C624" s="6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1"/>
      <c r="T624" s="1"/>
      <c r="U624" s="1"/>
    </row>
    <row r="625" spans="1:21" ht="15.75" customHeight="1" x14ac:dyDescent="0.2">
      <c r="A625" s="1"/>
      <c r="B625" s="1"/>
      <c r="C625" s="6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1"/>
      <c r="T625" s="1"/>
      <c r="U625" s="1"/>
    </row>
    <row r="626" spans="1:21" ht="15.75" customHeight="1" x14ac:dyDescent="0.2">
      <c r="A626" s="1"/>
      <c r="B626" s="1"/>
      <c r="C626" s="6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1"/>
      <c r="T626" s="1"/>
      <c r="U626" s="1"/>
    </row>
    <row r="627" spans="1:21" ht="15.75" customHeight="1" x14ac:dyDescent="0.2">
      <c r="A627" s="1"/>
      <c r="B627" s="1"/>
      <c r="C627" s="6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1"/>
      <c r="T627" s="1"/>
      <c r="U627" s="1"/>
    </row>
    <row r="628" spans="1:21" ht="15.75" customHeight="1" x14ac:dyDescent="0.2">
      <c r="A628" s="1"/>
      <c r="B628" s="1"/>
      <c r="C628" s="6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1"/>
      <c r="T628" s="1"/>
      <c r="U628" s="1"/>
    </row>
    <row r="629" spans="1:21" ht="15.75" customHeight="1" x14ac:dyDescent="0.2">
      <c r="A629" s="1"/>
      <c r="B629" s="1"/>
      <c r="C629" s="6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1"/>
      <c r="T629" s="1"/>
      <c r="U629" s="1"/>
    </row>
    <row r="630" spans="1:21" ht="15.75" customHeight="1" x14ac:dyDescent="0.2">
      <c r="A630" s="1"/>
      <c r="B630" s="1"/>
      <c r="C630" s="6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1"/>
      <c r="T630" s="1"/>
      <c r="U630" s="1"/>
    </row>
    <row r="631" spans="1:21" ht="15.75" customHeight="1" x14ac:dyDescent="0.2">
      <c r="A631" s="1"/>
      <c r="B631" s="1"/>
      <c r="C631" s="6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1"/>
      <c r="T631" s="1"/>
      <c r="U631" s="1"/>
    </row>
    <row r="632" spans="1:21" ht="15.75" customHeight="1" x14ac:dyDescent="0.2">
      <c r="A632" s="1"/>
      <c r="B632" s="1"/>
      <c r="C632" s="6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1"/>
      <c r="T632" s="1"/>
      <c r="U632" s="1"/>
    </row>
    <row r="633" spans="1:21" ht="15.75" customHeight="1" x14ac:dyDescent="0.2">
      <c r="A633" s="1"/>
      <c r="B633" s="1"/>
      <c r="C633" s="6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1"/>
      <c r="T633" s="1"/>
      <c r="U633" s="1"/>
    </row>
    <row r="634" spans="1:21" ht="15.75" customHeight="1" x14ac:dyDescent="0.2">
      <c r="A634" s="1"/>
      <c r="B634" s="1"/>
      <c r="C634" s="6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1"/>
      <c r="T634" s="1"/>
      <c r="U634" s="1"/>
    </row>
    <row r="635" spans="1:21" ht="15.75" customHeight="1" x14ac:dyDescent="0.2">
      <c r="A635" s="1"/>
      <c r="B635" s="1"/>
      <c r="C635" s="6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1"/>
      <c r="T635" s="1"/>
      <c r="U635" s="1"/>
    </row>
    <row r="636" spans="1:21" ht="15.75" customHeight="1" x14ac:dyDescent="0.2">
      <c r="A636" s="1"/>
      <c r="B636" s="1"/>
      <c r="C636" s="6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1"/>
      <c r="T636" s="1"/>
      <c r="U636" s="1"/>
    </row>
    <row r="637" spans="1:21" ht="15.75" customHeight="1" x14ac:dyDescent="0.2">
      <c r="A637" s="1"/>
      <c r="B637" s="1"/>
      <c r="C637" s="6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1"/>
      <c r="T637" s="1"/>
      <c r="U637" s="1"/>
    </row>
    <row r="638" spans="1:21" ht="15.75" customHeight="1" x14ac:dyDescent="0.2">
      <c r="A638" s="1"/>
      <c r="B638" s="1"/>
      <c r="C638" s="6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1"/>
      <c r="T638" s="1"/>
      <c r="U638" s="1"/>
    </row>
    <row r="639" spans="1:21" ht="15.75" customHeight="1" x14ac:dyDescent="0.2">
      <c r="A639" s="1"/>
      <c r="B639" s="1"/>
      <c r="C639" s="6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1"/>
      <c r="T639" s="1"/>
      <c r="U639" s="1"/>
    </row>
    <row r="640" spans="1:21" ht="15.75" customHeight="1" x14ac:dyDescent="0.2">
      <c r="A640" s="1"/>
      <c r="B640" s="1"/>
      <c r="C640" s="6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1"/>
      <c r="T640" s="1"/>
      <c r="U640" s="1"/>
    </row>
    <row r="641" spans="1:21" ht="15.75" customHeight="1" x14ac:dyDescent="0.2">
      <c r="A641" s="1"/>
      <c r="B641" s="1"/>
      <c r="C641" s="6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1"/>
      <c r="T641" s="1"/>
      <c r="U641" s="1"/>
    </row>
    <row r="642" spans="1:21" ht="15.75" customHeight="1" x14ac:dyDescent="0.2">
      <c r="A642" s="1"/>
      <c r="B642" s="1"/>
      <c r="C642" s="6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1"/>
      <c r="T642" s="1"/>
      <c r="U642" s="1"/>
    </row>
    <row r="643" spans="1:21" ht="15.75" customHeight="1" x14ac:dyDescent="0.2">
      <c r="A643" s="1"/>
      <c r="B643" s="1"/>
      <c r="C643" s="6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1"/>
      <c r="T643" s="1"/>
      <c r="U643" s="1"/>
    </row>
    <row r="644" spans="1:21" ht="15.75" customHeight="1" x14ac:dyDescent="0.2">
      <c r="A644" s="1"/>
      <c r="B644" s="1"/>
      <c r="C644" s="6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1"/>
      <c r="T644" s="1"/>
      <c r="U644" s="1"/>
    </row>
    <row r="645" spans="1:21" ht="15.75" customHeight="1" x14ac:dyDescent="0.2">
      <c r="A645" s="1"/>
      <c r="B645" s="1"/>
      <c r="C645" s="6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1"/>
      <c r="T645" s="1"/>
      <c r="U645" s="1"/>
    </row>
    <row r="646" spans="1:21" ht="15.75" customHeight="1" x14ac:dyDescent="0.2">
      <c r="A646" s="1"/>
      <c r="B646" s="1"/>
      <c r="C646" s="6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1"/>
      <c r="T646" s="1"/>
      <c r="U646" s="1"/>
    </row>
    <row r="647" spans="1:21" ht="15.75" customHeight="1" x14ac:dyDescent="0.2">
      <c r="A647" s="1"/>
      <c r="B647" s="1"/>
      <c r="C647" s="6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1"/>
      <c r="T647" s="1"/>
      <c r="U647" s="1"/>
    </row>
    <row r="648" spans="1:21" ht="15.75" customHeight="1" x14ac:dyDescent="0.2">
      <c r="A648" s="1"/>
      <c r="B648" s="1"/>
      <c r="C648" s="6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1"/>
      <c r="T648" s="1"/>
      <c r="U648" s="1"/>
    </row>
    <row r="649" spans="1:21" ht="15.75" customHeight="1" x14ac:dyDescent="0.2">
      <c r="A649" s="1"/>
      <c r="B649" s="1"/>
      <c r="C649" s="6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1"/>
      <c r="T649" s="1"/>
      <c r="U649" s="1"/>
    </row>
    <row r="650" spans="1:21" ht="15.75" customHeight="1" x14ac:dyDescent="0.2">
      <c r="A650" s="1"/>
      <c r="B650" s="1"/>
      <c r="C650" s="6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1"/>
      <c r="T650" s="1"/>
      <c r="U650" s="1"/>
    </row>
    <row r="651" spans="1:21" ht="15.75" customHeight="1" x14ac:dyDescent="0.2">
      <c r="A651" s="1"/>
      <c r="B651" s="1"/>
      <c r="C651" s="6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1"/>
      <c r="T651" s="1"/>
      <c r="U651" s="1"/>
    </row>
    <row r="652" spans="1:21" ht="15.75" customHeight="1" x14ac:dyDescent="0.2">
      <c r="A652" s="1"/>
      <c r="B652" s="1"/>
      <c r="C652" s="6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1"/>
      <c r="T652" s="1"/>
      <c r="U652" s="1"/>
    </row>
    <row r="653" spans="1:21" ht="15.75" customHeight="1" x14ac:dyDescent="0.2">
      <c r="A653" s="1"/>
      <c r="B653" s="1"/>
      <c r="C653" s="6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1"/>
      <c r="T653" s="1"/>
      <c r="U653" s="1"/>
    </row>
    <row r="654" spans="1:21" ht="15.75" customHeight="1" x14ac:dyDescent="0.2">
      <c r="A654" s="1"/>
      <c r="B654" s="1"/>
      <c r="C654" s="6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1"/>
      <c r="T654" s="1"/>
      <c r="U654" s="1"/>
    </row>
    <row r="655" spans="1:21" ht="15.75" customHeight="1" x14ac:dyDescent="0.2">
      <c r="A655" s="1"/>
      <c r="B655" s="1"/>
      <c r="C655" s="6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1"/>
      <c r="T655" s="1"/>
      <c r="U655" s="1"/>
    </row>
    <row r="656" spans="1:21" ht="15.75" customHeight="1" x14ac:dyDescent="0.2">
      <c r="A656" s="1"/>
      <c r="B656" s="1"/>
      <c r="C656" s="6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1"/>
      <c r="T656" s="1"/>
      <c r="U656" s="1"/>
    </row>
    <row r="657" spans="1:21" ht="15.75" customHeight="1" x14ac:dyDescent="0.2">
      <c r="A657" s="1"/>
      <c r="B657" s="1"/>
      <c r="C657" s="6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1"/>
      <c r="T657" s="1"/>
      <c r="U657" s="1"/>
    </row>
    <row r="658" spans="1:21" ht="15.75" customHeight="1" x14ac:dyDescent="0.2">
      <c r="A658" s="1"/>
      <c r="B658" s="1"/>
      <c r="C658" s="6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1"/>
      <c r="T658" s="1"/>
      <c r="U658" s="1"/>
    </row>
    <row r="659" spans="1:21" ht="15.75" customHeight="1" x14ac:dyDescent="0.2">
      <c r="A659" s="1"/>
      <c r="B659" s="1"/>
      <c r="C659" s="6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1"/>
      <c r="T659" s="1"/>
      <c r="U659" s="1"/>
    </row>
    <row r="660" spans="1:21" ht="15.75" customHeight="1" x14ac:dyDescent="0.2">
      <c r="A660" s="1"/>
      <c r="B660" s="1"/>
      <c r="C660" s="6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1"/>
      <c r="T660" s="1"/>
      <c r="U660" s="1"/>
    </row>
    <row r="661" spans="1:21" ht="15.75" customHeight="1" x14ac:dyDescent="0.2">
      <c r="A661" s="1"/>
      <c r="B661" s="1"/>
      <c r="C661" s="6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1"/>
      <c r="T661" s="1"/>
      <c r="U661" s="1"/>
    </row>
    <row r="662" spans="1:21" ht="15.75" customHeight="1" x14ac:dyDescent="0.2">
      <c r="A662" s="1"/>
      <c r="B662" s="1"/>
      <c r="C662" s="6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1"/>
      <c r="T662" s="1"/>
      <c r="U662" s="1"/>
    </row>
    <row r="663" spans="1:21" ht="15.75" customHeight="1" x14ac:dyDescent="0.2">
      <c r="A663" s="1"/>
      <c r="B663" s="1"/>
      <c r="C663" s="6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1"/>
      <c r="T663" s="1"/>
      <c r="U663" s="1"/>
    </row>
    <row r="664" spans="1:21" ht="15.75" customHeight="1" x14ac:dyDescent="0.2">
      <c r="A664" s="1"/>
      <c r="B664" s="1"/>
      <c r="C664" s="6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1"/>
      <c r="T664" s="1"/>
      <c r="U664" s="1"/>
    </row>
    <row r="665" spans="1:21" ht="15.75" customHeight="1" x14ac:dyDescent="0.2">
      <c r="A665" s="1"/>
      <c r="B665" s="1"/>
      <c r="C665" s="6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1"/>
      <c r="T665" s="1"/>
      <c r="U665" s="1"/>
    </row>
    <row r="666" spans="1:21" ht="15.75" customHeight="1" x14ac:dyDescent="0.2">
      <c r="A666" s="1"/>
      <c r="B666" s="1"/>
      <c r="C666" s="6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1"/>
      <c r="T666" s="1"/>
      <c r="U666" s="1"/>
    </row>
    <row r="667" spans="1:21" ht="15.75" customHeight="1" x14ac:dyDescent="0.2">
      <c r="A667" s="1"/>
      <c r="B667" s="1"/>
      <c r="C667" s="6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1"/>
      <c r="T667" s="1"/>
      <c r="U667" s="1"/>
    </row>
    <row r="668" spans="1:21" ht="15.75" customHeight="1" x14ac:dyDescent="0.2">
      <c r="A668" s="1"/>
      <c r="B668" s="1"/>
      <c r="C668" s="6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1"/>
      <c r="T668" s="1"/>
      <c r="U668" s="1"/>
    </row>
    <row r="669" spans="1:21" ht="15.75" customHeight="1" x14ac:dyDescent="0.2">
      <c r="A669" s="1"/>
      <c r="B669" s="1"/>
      <c r="C669" s="6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1"/>
      <c r="T669" s="1"/>
      <c r="U669" s="1"/>
    </row>
    <row r="670" spans="1:21" ht="15.75" customHeight="1" x14ac:dyDescent="0.2">
      <c r="A670" s="1"/>
      <c r="B670" s="1"/>
      <c r="C670" s="6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1"/>
      <c r="T670" s="1"/>
      <c r="U670" s="1"/>
    </row>
    <row r="671" spans="1:21" ht="15.75" customHeight="1" x14ac:dyDescent="0.2">
      <c r="A671" s="1"/>
      <c r="B671" s="1"/>
      <c r="C671" s="6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1"/>
      <c r="T671" s="1"/>
      <c r="U671" s="1"/>
    </row>
    <row r="672" spans="1:21" ht="15.75" customHeight="1" x14ac:dyDescent="0.2">
      <c r="A672" s="1"/>
      <c r="B672" s="1"/>
      <c r="C672" s="6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1"/>
      <c r="T672" s="1"/>
      <c r="U672" s="1"/>
    </row>
    <row r="673" spans="1:21" ht="15.75" customHeight="1" x14ac:dyDescent="0.2">
      <c r="A673" s="1"/>
      <c r="B673" s="1"/>
      <c r="C673" s="6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1"/>
      <c r="T673" s="1"/>
      <c r="U673" s="1"/>
    </row>
    <row r="674" spans="1:21" ht="15.75" customHeight="1" x14ac:dyDescent="0.2">
      <c r="A674" s="1"/>
      <c r="B674" s="1"/>
      <c r="C674" s="6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1"/>
      <c r="T674" s="1"/>
      <c r="U674" s="1"/>
    </row>
    <row r="675" spans="1:21" ht="15.75" customHeight="1" x14ac:dyDescent="0.2">
      <c r="A675" s="1"/>
      <c r="B675" s="1"/>
      <c r="C675" s="6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1"/>
      <c r="T675" s="1"/>
      <c r="U675" s="1"/>
    </row>
    <row r="676" spans="1:21" ht="15.75" customHeight="1" x14ac:dyDescent="0.2">
      <c r="A676" s="1"/>
      <c r="B676" s="1"/>
      <c r="C676" s="6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1"/>
      <c r="T676" s="1"/>
      <c r="U676" s="1"/>
    </row>
    <row r="677" spans="1:21" ht="15.75" customHeight="1" x14ac:dyDescent="0.2">
      <c r="A677" s="1"/>
      <c r="B677" s="1"/>
      <c r="C677" s="6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1"/>
      <c r="T677" s="1"/>
      <c r="U677" s="1"/>
    </row>
    <row r="678" spans="1:21" ht="15.75" customHeight="1" x14ac:dyDescent="0.2">
      <c r="A678" s="1"/>
      <c r="B678" s="1"/>
      <c r="C678" s="6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1"/>
      <c r="T678" s="1"/>
      <c r="U678" s="1"/>
    </row>
    <row r="679" spans="1:21" ht="15.75" customHeight="1" x14ac:dyDescent="0.2">
      <c r="A679" s="1"/>
      <c r="B679" s="1"/>
      <c r="C679" s="6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1"/>
      <c r="T679" s="1"/>
      <c r="U679" s="1"/>
    </row>
    <row r="680" spans="1:21" ht="15.75" customHeight="1" x14ac:dyDescent="0.2">
      <c r="A680" s="1"/>
      <c r="B680" s="1"/>
      <c r="C680" s="6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1"/>
      <c r="T680" s="1"/>
      <c r="U680" s="1"/>
    </row>
    <row r="681" spans="1:21" ht="15.75" customHeight="1" x14ac:dyDescent="0.2">
      <c r="A681" s="1"/>
      <c r="B681" s="1"/>
      <c r="C681" s="6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1"/>
      <c r="T681" s="1"/>
      <c r="U681" s="1"/>
    </row>
    <row r="682" spans="1:21" ht="15.75" customHeight="1" x14ac:dyDescent="0.2">
      <c r="A682" s="1"/>
      <c r="B682" s="1"/>
      <c r="C682" s="6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1"/>
      <c r="T682" s="1"/>
      <c r="U682" s="1"/>
    </row>
    <row r="683" spans="1:21" ht="15.75" customHeight="1" x14ac:dyDescent="0.2">
      <c r="A683" s="1"/>
      <c r="B683" s="1"/>
      <c r="C683" s="6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1"/>
      <c r="T683" s="1"/>
      <c r="U683" s="1"/>
    </row>
    <row r="684" spans="1:21" ht="15.75" customHeight="1" x14ac:dyDescent="0.2">
      <c r="A684" s="1"/>
      <c r="B684" s="1"/>
      <c r="C684" s="6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1"/>
      <c r="T684" s="1"/>
      <c r="U684" s="1"/>
    </row>
    <row r="685" spans="1:21" ht="15.75" customHeight="1" x14ac:dyDescent="0.2">
      <c r="A685" s="1"/>
      <c r="B685" s="1"/>
      <c r="C685" s="6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1"/>
      <c r="T685" s="1"/>
      <c r="U685" s="1"/>
    </row>
    <row r="686" spans="1:21" ht="15.75" customHeight="1" x14ac:dyDescent="0.2">
      <c r="A686" s="1"/>
      <c r="B686" s="1"/>
      <c r="C686" s="6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1"/>
      <c r="T686" s="1"/>
      <c r="U686" s="1"/>
    </row>
    <row r="687" spans="1:21" ht="15.75" customHeight="1" x14ac:dyDescent="0.2">
      <c r="A687" s="1"/>
      <c r="B687" s="1"/>
      <c r="C687" s="6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1"/>
      <c r="T687" s="1"/>
      <c r="U687" s="1"/>
    </row>
    <row r="688" spans="1:21" ht="15.75" customHeight="1" x14ac:dyDescent="0.2">
      <c r="A688" s="1"/>
      <c r="B688" s="1"/>
      <c r="C688" s="6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1"/>
      <c r="T688" s="1"/>
      <c r="U688" s="1"/>
    </row>
    <row r="689" spans="1:21" ht="15.75" customHeight="1" x14ac:dyDescent="0.2">
      <c r="A689" s="1"/>
      <c r="B689" s="1"/>
      <c r="C689" s="6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1"/>
      <c r="T689" s="1"/>
      <c r="U689" s="1"/>
    </row>
    <row r="690" spans="1:21" ht="15.75" customHeight="1" x14ac:dyDescent="0.2">
      <c r="A690" s="1"/>
      <c r="B690" s="1"/>
      <c r="C690" s="6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1"/>
      <c r="T690" s="1"/>
      <c r="U690" s="1"/>
    </row>
    <row r="691" spans="1:21" ht="15.75" customHeight="1" x14ac:dyDescent="0.2">
      <c r="A691" s="1"/>
      <c r="B691" s="1"/>
      <c r="C691" s="6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1"/>
      <c r="T691" s="1"/>
      <c r="U691" s="1"/>
    </row>
    <row r="692" spans="1:21" ht="15.75" customHeight="1" x14ac:dyDescent="0.2">
      <c r="A692" s="1"/>
      <c r="B692" s="1"/>
      <c r="C692" s="6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1"/>
      <c r="T692" s="1"/>
      <c r="U692" s="1"/>
    </row>
    <row r="693" spans="1:21" ht="15.75" customHeight="1" x14ac:dyDescent="0.2">
      <c r="A693" s="1"/>
      <c r="B693" s="1"/>
      <c r="C693" s="6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1"/>
      <c r="T693" s="1"/>
      <c r="U693" s="1"/>
    </row>
    <row r="694" spans="1:21" ht="15.75" customHeight="1" x14ac:dyDescent="0.2">
      <c r="A694" s="1"/>
      <c r="B694" s="1"/>
      <c r="C694" s="6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1"/>
      <c r="T694" s="1"/>
      <c r="U694" s="1"/>
    </row>
    <row r="695" spans="1:21" ht="15.75" customHeight="1" x14ac:dyDescent="0.2">
      <c r="A695" s="1"/>
      <c r="B695" s="1"/>
      <c r="C695" s="6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1"/>
      <c r="T695" s="1"/>
      <c r="U695" s="1"/>
    </row>
    <row r="696" spans="1:21" ht="15.75" customHeight="1" x14ac:dyDescent="0.2">
      <c r="A696" s="1"/>
      <c r="B696" s="1"/>
      <c r="C696" s="6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1"/>
      <c r="T696" s="1"/>
      <c r="U696" s="1"/>
    </row>
    <row r="697" spans="1:21" ht="15.75" customHeight="1" x14ac:dyDescent="0.2">
      <c r="A697" s="1"/>
      <c r="B697" s="1"/>
      <c r="C697" s="6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1"/>
      <c r="T697" s="1"/>
      <c r="U697" s="1"/>
    </row>
    <row r="698" spans="1:21" ht="15.75" customHeight="1" x14ac:dyDescent="0.2">
      <c r="A698" s="1"/>
      <c r="B698" s="1"/>
      <c r="C698" s="6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1"/>
      <c r="T698" s="1"/>
      <c r="U698" s="1"/>
    </row>
    <row r="699" spans="1:21" ht="15.75" customHeight="1" x14ac:dyDescent="0.2">
      <c r="A699" s="1"/>
      <c r="B699" s="1"/>
      <c r="C699" s="6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1"/>
      <c r="T699" s="1"/>
      <c r="U699" s="1"/>
    </row>
    <row r="700" spans="1:21" ht="15.75" customHeight="1" x14ac:dyDescent="0.2">
      <c r="A700" s="1"/>
      <c r="B700" s="1"/>
      <c r="C700" s="6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1"/>
      <c r="T700" s="1"/>
      <c r="U700" s="1"/>
    </row>
    <row r="701" spans="1:21" ht="15.75" customHeight="1" x14ac:dyDescent="0.2">
      <c r="A701" s="1"/>
      <c r="B701" s="1"/>
      <c r="C701" s="6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1"/>
      <c r="T701" s="1"/>
      <c r="U701" s="1"/>
    </row>
    <row r="702" spans="1:21" ht="15.75" customHeight="1" x14ac:dyDescent="0.2">
      <c r="A702" s="1"/>
      <c r="B702" s="1"/>
      <c r="C702" s="6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1"/>
      <c r="T702" s="1"/>
      <c r="U702" s="1"/>
    </row>
    <row r="703" spans="1:21" ht="15.75" customHeight="1" x14ac:dyDescent="0.2">
      <c r="A703" s="1"/>
      <c r="B703" s="1"/>
      <c r="C703" s="6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1"/>
      <c r="T703" s="1"/>
      <c r="U703" s="1"/>
    </row>
    <row r="704" spans="1:21" ht="15.75" customHeight="1" x14ac:dyDescent="0.2">
      <c r="A704" s="1"/>
      <c r="B704" s="1"/>
      <c r="C704" s="6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1"/>
      <c r="T704" s="1"/>
      <c r="U704" s="1"/>
    </row>
    <row r="705" spans="1:21" ht="15.75" customHeight="1" x14ac:dyDescent="0.2">
      <c r="A705" s="1"/>
      <c r="B705" s="1"/>
      <c r="C705" s="6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1"/>
      <c r="T705" s="1"/>
      <c r="U705" s="1"/>
    </row>
    <row r="706" spans="1:21" ht="15.75" customHeight="1" x14ac:dyDescent="0.2">
      <c r="A706" s="1"/>
      <c r="B706" s="1"/>
      <c r="C706" s="6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1"/>
      <c r="T706" s="1"/>
      <c r="U706" s="1"/>
    </row>
    <row r="707" spans="1:21" ht="15.75" customHeight="1" x14ac:dyDescent="0.2">
      <c r="A707" s="1"/>
      <c r="B707" s="1"/>
      <c r="C707" s="6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1"/>
      <c r="T707" s="1"/>
      <c r="U707" s="1"/>
    </row>
    <row r="708" spans="1:21" ht="15.75" customHeight="1" x14ac:dyDescent="0.2">
      <c r="A708" s="1"/>
      <c r="B708" s="1"/>
      <c r="C708" s="6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1"/>
      <c r="T708" s="1"/>
      <c r="U708" s="1"/>
    </row>
    <row r="709" spans="1:21" ht="15.75" customHeight="1" x14ac:dyDescent="0.2">
      <c r="A709" s="1"/>
      <c r="B709" s="1"/>
      <c r="C709" s="6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1"/>
      <c r="T709" s="1"/>
      <c r="U709" s="1"/>
    </row>
    <row r="710" spans="1:21" ht="15.75" customHeight="1" x14ac:dyDescent="0.2">
      <c r="A710" s="1"/>
      <c r="B710" s="1"/>
      <c r="C710" s="6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1"/>
      <c r="T710" s="1"/>
      <c r="U710" s="1"/>
    </row>
    <row r="711" spans="1:21" ht="15.75" customHeight="1" x14ac:dyDescent="0.2">
      <c r="A711" s="1"/>
      <c r="B711" s="1"/>
      <c r="C711" s="6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1"/>
      <c r="T711" s="1"/>
      <c r="U711" s="1"/>
    </row>
    <row r="712" spans="1:21" ht="15.75" customHeight="1" x14ac:dyDescent="0.2">
      <c r="A712" s="1"/>
      <c r="B712" s="1"/>
      <c r="C712" s="6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1"/>
      <c r="T712" s="1"/>
      <c r="U712" s="1"/>
    </row>
    <row r="713" spans="1:21" ht="15.75" customHeight="1" x14ac:dyDescent="0.2">
      <c r="A713" s="1"/>
      <c r="B713" s="1"/>
      <c r="C713" s="6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1"/>
      <c r="T713" s="1"/>
      <c r="U713" s="1"/>
    </row>
    <row r="714" spans="1:21" ht="15.75" customHeight="1" x14ac:dyDescent="0.2">
      <c r="A714" s="1"/>
      <c r="B714" s="1"/>
      <c r="C714" s="6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1"/>
      <c r="T714" s="1"/>
      <c r="U714" s="1"/>
    </row>
    <row r="715" spans="1:21" ht="15.75" customHeight="1" x14ac:dyDescent="0.2">
      <c r="A715" s="1"/>
      <c r="B715" s="1"/>
      <c r="C715" s="6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1"/>
      <c r="T715" s="1"/>
      <c r="U715" s="1"/>
    </row>
    <row r="716" spans="1:21" ht="15.75" customHeight="1" x14ac:dyDescent="0.2">
      <c r="A716" s="1"/>
      <c r="B716" s="1"/>
      <c r="C716" s="6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1"/>
      <c r="T716" s="1"/>
      <c r="U716" s="1"/>
    </row>
    <row r="717" spans="1:21" ht="15.75" customHeight="1" x14ac:dyDescent="0.2">
      <c r="A717" s="1"/>
      <c r="B717" s="1"/>
      <c r="C717" s="6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1"/>
      <c r="T717" s="1"/>
      <c r="U717" s="1"/>
    </row>
    <row r="718" spans="1:21" ht="15.75" customHeight="1" x14ac:dyDescent="0.2">
      <c r="A718" s="1"/>
      <c r="B718" s="1"/>
      <c r="C718" s="6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1"/>
      <c r="T718" s="1"/>
      <c r="U718" s="1"/>
    </row>
    <row r="719" spans="1:21" ht="15.75" customHeight="1" x14ac:dyDescent="0.2">
      <c r="A719" s="1"/>
      <c r="B719" s="1"/>
      <c r="C719" s="6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1"/>
      <c r="T719" s="1"/>
      <c r="U719" s="1"/>
    </row>
    <row r="720" spans="1:21" ht="15.75" customHeight="1" x14ac:dyDescent="0.2">
      <c r="A720" s="1"/>
      <c r="B720" s="1"/>
      <c r="C720" s="6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1"/>
      <c r="T720" s="1"/>
      <c r="U720" s="1"/>
    </row>
    <row r="721" spans="1:21" ht="15.75" customHeight="1" x14ac:dyDescent="0.2">
      <c r="A721" s="1"/>
      <c r="B721" s="1"/>
      <c r="C721" s="6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1"/>
      <c r="T721" s="1"/>
      <c r="U721" s="1"/>
    </row>
    <row r="722" spans="1:21" ht="15.75" customHeight="1" x14ac:dyDescent="0.2">
      <c r="A722" s="1"/>
      <c r="B722" s="1"/>
      <c r="C722" s="6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1"/>
      <c r="T722" s="1"/>
      <c r="U722" s="1"/>
    </row>
    <row r="723" spans="1:21" ht="15.75" customHeight="1" x14ac:dyDescent="0.2">
      <c r="A723" s="1"/>
      <c r="B723" s="1"/>
      <c r="C723" s="6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1"/>
      <c r="T723" s="1"/>
      <c r="U723" s="1"/>
    </row>
    <row r="724" spans="1:21" ht="15.75" customHeight="1" x14ac:dyDescent="0.2">
      <c r="A724" s="1"/>
      <c r="B724" s="1"/>
      <c r="C724" s="6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1"/>
      <c r="T724" s="1"/>
      <c r="U724" s="1"/>
    </row>
    <row r="725" spans="1:21" ht="15.75" customHeight="1" x14ac:dyDescent="0.2">
      <c r="A725" s="1"/>
      <c r="B725" s="1"/>
      <c r="C725" s="6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1"/>
      <c r="T725" s="1"/>
      <c r="U725" s="1"/>
    </row>
    <row r="726" spans="1:21" ht="15.75" customHeight="1" x14ac:dyDescent="0.2">
      <c r="A726" s="1"/>
      <c r="B726" s="1"/>
      <c r="C726" s="6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1"/>
      <c r="T726" s="1"/>
      <c r="U726" s="1"/>
    </row>
    <row r="727" spans="1:21" ht="15.75" customHeight="1" x14ac:dyDescent="0.2">
      <c r="A727" s="1"/>
      <c r="B727" s="1"/>
      <c r="C727" s="6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1"/>
      <c r="T727" s="1"/>
      <c r="U727" s="1"/>
    </row>
    <row r="728" spans="1:21" ht="15.75" customHeight="1" x14ac:dyDescent="0.2">
      <c r="A728" s="1"/>
      <c r="B728" s="1"/>
      <c r="C728" s="6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1"/>
      <c r="T728" s="1"/>
      <c r="U728" s="1"/>
    </row>
    <row r="729" spans="1:21" ht="15.75" customHeight="1" x14ac:dyDescent="0.2">
      <c r="A729" s="1"/>
      <c r="B729" s="1"/>
      <c r="C729" s="6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1"/>
      <c r="T729" s="1"/>
      <c r="U729" s="1"/>
    </row>
    <row r="730" spans="1:21" ht="15.75" customHeight="1" x14ac:dyDescent="0.2">
      <c r="A730" s="1"/>
      <c r="B730" s="1"/>
      <c r="C730" s="6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1"/>
      <c r="T730" s="1"/>
      <c r="U730" s="1"/>
    </row>
    <row r="731" spans="1:21" ht="15.75" customHeight="1" x14ac:dyDescent="0.2">
      <c r="A731" s="1"/>
      <c r="B731" s="1"/>
      <c r="C731" s="6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1"/>
      <c r="T731" s="1"/>
      <c r="U731" s="1"/>
    </row>
    <row r="732" spans="1:21" ht="15.75" customHeight="1" x14ac:dyDescent="0.2">
      <c r="A732" s="1"/>
      <c r="B732" s="1"/>
      <c r="C732" s="6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1"/>
      <c r="T732" s="1"/>
      <c r="U732" s="1"/>
    </row>
    <row r="733" spans="1:21" ht="15.75" customHeight="1" x14ac:dyDescent="0.2">
      <c r="A733" s="1"/>
      <c r="B733" s="1"/>
      <c r="C733" s="6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1"/>
      <c r="T733" s="1"/>
      <c r="U733" s="1"/>
    </row>
    <row r="734" spans="1:21" ht="15.75" customHeight="1" x14ac:dyDescent="0.2">
      <c r="A734" s="1"/>
      <c r="B734" s="1"/>
      <c r="C734" s="6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1"/>
      <c r="T734" s="1"/>
      <c r="U734" s="1"/>
    </row>
    <row r="735" spans="1:21" ht="15.75" customHeight="1" x14ac:dyDescent="0.2">
      <c r="A735" s="1"/>
      <c r="B735" s="1"/>
      <c r="C735" s="6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1"/>
      <c r="T735" s="1"/>
      <c r="U735" s="1"/>
    </row>
    <row r="736" spans="1:21" ht="15.75" customHeight="1" x14ac:dyDescent="0.2">
      <c r="A736" s="1"/>
      <c r="B736" s="1"/>
      <c r="C736" s="6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1"/>
      <c r="T736" s="1"/>
      <c r="U736" s="1"/>
    </row>
    <row r="737" spans="1:21" ht="15.75" customHeight="1" x14ac:dyDescent="0.2">
      <c r="A737" s="1"/>
      <c r="B737" s="1"/>
      <c r="C737" s="6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1"/>
      <c r="T737" s="1"/>
      <c r="U737" s="1"/>
    </row>
    <row r="738" spans="1:21" ht="15.75" customHeight="1" x14ac:dyDescent="0.2">
      <c r="A738" s="1"/>
      <c r="B738" s="1"/>
      <c r="C738" s="6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1"/>
      <c r="T738" s="1"/>
      <c r="U738" s="1"/>
    </row>
    <row r="739" spans="1:21" ht="15.75" customHeight="1" x14ac:dyDescent="0.2">
      <c r="A739" s="1"/>
      <c r="B739" s="1"/>
      <c r="C739" s="6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1"/>
      <c r="T739" s="1"/>
      <c r="U739" s="1"/>
    </row>
    <row r="740" spans="1:21" ht="15.75" customHeight="1" x14ac:dyDescent="0.2">
      <c r="A740" s="1"/>
      <c r="B740" s="1"/>
      <c r="C740" s="6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1"/>
      <c r="T740" s="1"/>
      <c r="U740" s="1"/>
    </row>
    <row r="741" spans="1:21" ht="15.75" customHeight="1" x14ac:dyDescent="0.2">
      <c r="A741" s="1"/>
      <c r="B741" s="1"/>
      <c r="C741" s="6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1"/>
      <c r="T741" s="1"/>
      <c r="U741" s="1"/>
    </row>
    <row r="742" spans="1:21" ht="15.75" customHeight="1" x14ac:dyDescent="0.2">
      <c r="A742" s="1"/>
      <c r="B742" s="1"/>
      <c r="C742" s="6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1"/>
      <c r="T742" s="1"/>
      <c r="U742" s="1"/>
    </row>
    <row r="743" spans="1:21" ht="15.75" customHeight="1" x14ac:dyDescent="0.2">
      <c r="A743" s="1"/>
      <c r="B743" s="1"/>
      <c r="C743" s="6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1"/>
      <c r="T743" s="1"/>
      <c r="U743" s="1"/>
    </row>
    <row r="744" spans="1:21" ht="15.75" customHeight="1" x14ac:dyDescent="0.2">
      <c r="A744" s="1"/>
      <c r="B744" s="1"/>
      <c r="C744" s="6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1"/>
      <c r="T744" s="1"/>
      <c r="U744" s="1"/>
    </row>
    <row r="745" spans="1:21" ht="15.75" customHeight="1" x14ac:dyDescent="0.2">
      <c r="A745" s="1"/>
      <c r="B745" s="1"/>
      <c r="C745" s="6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1"/>
      <c r="T745" s="1"/>
      <c r="U745" s="1"/>
    </row>
    <row r="746" spans="1:21" ht="15.75" customHeight="1" x14ac:dyDescent="0.2">
      <c r="A746" s="1"/>
      <c r="B746" s="1"/>
      <c r="C746" s="6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1"/>
      <c r="T746" s="1"/>
      <c r="U746" s="1"/>
    </row>
    <row r="747" spans="1:21" ht="15.75" customHeight="1" x14ac:dyDescent="0.2">
      <c r="A747" s="1"/>
      <c r="B747" s="1"/>
      <c r="C747" s="6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1"/>
      <c r="T747" s="1"/>
      <c r="U747" s="1"/>
    </row>
    <row r="748" spans="1:21" ht="15.75" customHeight="1" x14ac:dyDescent="0.2">
      <c r="A748" s="1"/>
      <c r="B748" s="1"/>
      <c r="C748" s="6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1"/>
      <c r="T748" s="1"/>
      <c r="U748" s="1"/>
    </row>
    <row r="749" spans="1:21" ht="15.75" customHeight="1" x14ac:dyDescent="0.2">
      <c r="A749" s="1"/>
      <c r="B749" s="1"/>
      <c r="C749" s="6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1"/>
      <c r="T749" s="1"/>
      <c r="U749" s="1"/>
    </row>
    <row r="750" spans="1:21" ht="15.75" customHeight="1" x14ac:dyDescent="0.2">
      <c r="A750" s="1"/>
      <c r="B750" s="1"/>
      <c r="C750" s="6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1"/>
      <c r="T750" s="1"/>
      <c r="U750" s="1"/>
    </row>
    <row r="751" spans="1:21" ht="15.75" customHeight="1" x14ac:dyDescent="0.2">
      <c r="A751" s="1"/>
      <c r="B751" s="1"/>
      <c r="C751" s="6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1"/>
      <c r="T751" s="1"/>
      <c r="U751" s="1"/>
    </row>
    <row r="752" spans="1:21" ht="15.75" customHeight="1" x14ac:dyDescent="0.2">
      <c r="A752" s="1"/>
      <c r="B752" s="1"/>
      <c r="C752" s="6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1"/>
      <c r="T752" s="1"/>
      <c r="U752" s="1"/>
    </row>
    <row r="753" spans="1:21" ht="15.75" customHeight="1" x14ac:dyDescent="0.2">
      <c r="A753" s="1"/>
      <c r="B753" s="1"/>
      <c r="C753" s="6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1"/>
      <c r="T753" s="1"/>
      <c r="U753" s="1"/>
    </row>
    <row r="754" spans="1:21" ht="15.75" customHeight="1" x14ac:dyDescent="0.2">
      <c r="A754" s="1"/>
      <c r="B754" s="1"/>
      <c r="C754" s="6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1"/>
      <c r="T754" s="1"/>
      <c r="U754" s="1"/>
    </row>
    <row r="755" spans="1:21" ht="15.75" customHeight="1" x14ac:dyDescent="0.2">
      <c r="A755" s="1"/>
      <c r="B755" s="1"/>
      <c r="C755" s="6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1"/>
      <c r="T755" s="1"/>
      <c r="U755" s="1"/>
    </row>
    <row r="756" spans="1:21" ht="15.75" customHeight="1" x14ac:dyDescent="0.2">
      <c r="A756" s="1"/>
      <c r="B756" s="1"/>
      <c r="C756" s="6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1"/>
      <c r="T756" s="1"/>
      <c r="U756" s="1"/>
    </row>
    <row r="757" spans="1:21" ht="15.75" customHeight="1" x14ac:dyDescent="0.2">
      <c r="A757" s="1"/>
      <c r="B757" s="1"/>
      <c r="C757" s="6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1"/>
      <c r="T757" s="1"/>
      <c r="U757" s="1"/>
    </row>
    <row r="758" spans="1:21" ht="15.75" customHeight="1" x14ac:dyDescent="0.2">
      <c r="A758" s="1"/>
      <c r="B758" s="1"/>
      <c r="C758" s="6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1"/>
      <c r="T758" s="1"/>
      <c r="U758" s="1"/>
    </row>
    <row r="759" spans="1:21" ht="15.75" customHeight="1" x14ac:dyDescent="0.2">
      <c r="A759" s="1"/>
      <c r="B759" s="1"/>
      <c r="C759" s="6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1"/>
      <c r="T759" s="1"/>
      <c r="U759" s="1"/>
    </row>
    <row r="760" spans="1:21" ht="15.75" customHeight="1" x14ac:dyDescent="0.2">
      <c r="A760" s="1"/>
      <c r="B760" s="1"/>
      <c r="C760" s="6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1"/>
      <c r="T760" s="1"/>
      <c r="U760" s="1"/>
    </row>
    <row r="761" spans="1:21" ht="15.75" customHeight="1" x14ac:dyDescent="0.2">
      <c r="A761" s="1"/>
      <c r="B761" s="1"/>
      <c r="C761" s="6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1"/>
      <c r="T761" s="1"/>
      <c r="U761" s="1"/>
    </row>
    <row r="762" spans="1:21" ht="15.75" customHeight="1" x14ac:dyDescent="0.2">
      <c r="A762" s="1"/>
      <c r="B762" s="1"/>
      <c r="C762" s="6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1"/>
      <c r="T762" s="1"/>
      <c r="U762" s="1"/>
    </row>
    <row r="763" spans="1:21" ht="15.75" customHeight="1" x14ac:dyDescent="0.2">
      <c r="A763" s="1"/>
      <c r="B763" s="1"/>
      <c r="C763" s="6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1"/>
      <c r="T763" s="1"/>
      <c r="U763" s="1"/>
    </row>
    <row r="764" spans="1:21" ht="15.75" customHeight="1" x14ac:dyDescent="0.2">
      <c r="A764" s="1"/>
      <c r="B764" s="1"/>
      <c r="C764" s="6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1"/>
      <c r="T764" s="1"/>
      <c r="U764" s="1"/>
    </row>
    <row r="765" spans="1:21" ht="15.75" customHeight="1" x14ac:dyDescent="0.2">
      <c r="A765" s="1"/>
      <c r="B765" s="1"/>
      <c r="C765" s="6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1"/>
      <c r="T765" s="1"/>
      <c r="U765" s="1"/>
    </row>
    <row r="766" spans="1:21" ht="15.75" customHeight="1" x14ac:dyDescent="0.2">
      <c r="A766" s="1"/>
      <c r="B766" s="1"/>
      <c r="C766" s="6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1"/>
      <c r="T766" s="1"/>
      <c r="U766" s="1"/>
    </row>
    <row r="767" spans="1:21" ht="15.75" customHeight="1" x14ac:dyDescent="0.2">
      <c r="A767" s="1"/>
      <c r="B767" s="1"/>
      <c r="C767" s="6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1"/>
      <c r="T767" s="1"/>
      <c r="U767" s="1"/>
    </row>
    <row r="768" spans="1:21" ht="15.75" customHeight="1" x14ac:dyDescent="0.2">
      <c r="A768" s="1"/>
      <c r="B768" s="1"/>
      <c r="C768" s="6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1"/>
      <c r="T768" s="1"/>
      <c r="U768" s="1"/>
    </row>
    <row r="769" spans="1:21" ht="15.75" customHeight="1" x14ac:dyDescent="0.2">
      <c r="A769" s="1"/>
      <c r="B769" s="1"/>
      <c r="C769" s="6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1"/>
      <c r="T769" s="1"/>
      <c r="U769" s="1"/>
    </row>
    <row r="770" spans="1:21" ht="15.75" customHeight="1" x14ac:dyDescent="0.2">
      <c r="A770" s="1"/>
      <c r="B770" s="1"/>
      <c r="C770" s="6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1"/>
      <c r="T770" s="1"/>
      <c r="U770" s="1"/>
    </row>
    <row r="771" spans="1:21" ht="15.75" customHeight="1" x14ac:dyDescent="0.2">
      <c r="A771" s="1"/>
      <c r="B771" s="1"/>
      <c r="C771" s="6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1"/>
      <c r="T771" s="1"/>
      <c r="U771" s="1"/>
    </row>
    <row r="772" spans="1:21" ht="15.75" customHeight="1" x14ac:dyDescent="0.2">
      <c r="A772" s="1"/>
      <c r="B772" s="1"/>
      <c r="C772" s="6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1"/>
      <c r="T772" s="1"/>
      <c r="U772" s="1"/>
    </row>
    <row r="773" spans="1:21" ht="15.75" customHeight="1" x14ac:dyDescent="0.2">
      <c r="A773" s="1"/>
      <c r="B773" s="1"/>
      <c r="C773" s="6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1"/>
      <c r="T773" s="1"/>
      <c r="U773" s="1"/>
    </row>
    <row r="774" spans="1:21" ht="15.75" customHeight="1" x14ac:dyDescent="0.2">
      <c r="A774" s="1"/>
      <c r="B774" s="1"/>
      <c r="C774" s="6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1"/>
      <c r="T774" s="1"/>
      <c r="U774" s="1"/>
    </row>
    <row r="775" spans="1:21" ht="15.75" customHeight="1" x14ac:dyDescent="0.2">
      <c r="A775" s="1"/>
      <c r="B775" s="1"/>
      <c r="C775" s="6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1"/>
      <c r="T775" s="1"/>
      <c r="U775" s="1"/>
    </row>
    <row r="776" spans="1:21" ht="15.75" customHeight="1" x14ac:dyDescent="0.2">
      <c r="A776" s="1"/>
      <c r="B776" s="1"/>
      <c r="C776" s="6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1"/>
      <c r="T776" s="1"/>
      <c r="U776" s="1"/>
    </row>
    <row r="777" spans="1:21" ht="15.75" customHeight="1" x14ac:dyDescent="0.2">
      <c r="A777" s="1"/>
      <c r="B777" s="1"/>
      <c r="C777" s="6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1"/>
      <c r="T777" s="1"/>
      <c r="U777" s="1"/>
    </row>
    <row r="778" spans="1:21" ht="15.75" customHeight="1" x14ac:dyDescent="0.2">
      <c r="A778" s="1"/>
      <c r="B778" s="1"/>
      <c r="C778" s="6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1"/>
      <c r="T778" s="1"/>
      <c r="U778" s="1"/>
    </row>
    <row r="779" spans="1:21" ht="15.75" customHeight="1" x14ac:dyDescent="0.2">
      <c r="A779" s="1"/>
      <c r="B779" s="1"/>
      <c r="C779" s="6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1"/>
      <c r="T779" s="1"/>
      <c r="U779" s="1"/>
    </row>
    <row r="780" spans="1:21" ht="15.75" customHeight="1" x14ac:dyDescent="0.2">
      <c r="A780" s="1"/>
      <c r="B780" s="1"/>
      <c r="C780" s="6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1"/>
      <c r="T780" s="1"/>
      <c r="U780" s="1"/>
    </row>
    <row r="781" spans="1:21" ht="15.75" customHeight="1" x14ac:dyDescent="0.2">
      <c r="A781" s="1"/>
      <c r="B781" s="1"/>
      <c r="C781" s="6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1"/>
      <c r="T781" s="1"/>
      <c r="U781" s="1"/>
    </row>
    <row r="782" spans="1:21" ht="15.75" customHeight="1" x14ac:dyDescent="0.2">
      <c r="A782" s="1"/>
      <c r="B782" s="1"/>
      <c r="C782" s="6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1"/>
      <c r="T782" s="1"/>
      <c r="U782" s="1"/>
    </row>
    <row r="783" spans="1:21" ht="15.75" customHeight="1" x14ac:dyDescent="0.2">
      <c r="A783" s="1"/>
      <c r="B783" s="1"/>
      <c r="C783" s="6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1"/>
      <c r="T783" s="1"/>
      <c r="U783" s="1"/>
    </row>
    <row r="784" spans="1:21" ht="15.75" customHeight="1" x14ac:dyDescent="0.2">
      <c r="A784" s="1"/>
      <c r="B784" s="1"/>
      <c r="C784" s="6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1"/>
      <c r="T784" s="1"/>
      <c r="U784" s="1"/>
    </row>
    <row r="785" spans="1:21" ht="15.75" customHeight="1" x14ac:dyDescent="0.2">
      <c r="A785" s="1"/>
      <c r="B785" s="1"/>
      <c r="C785" s="6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1"/>
      <c r="T785" s="1"/>
      <c r="U785" s="1"/>
    </row>
    <row r="786" spans="1:21" ht="15.75" customHeight="1" x14ac:dyDescent="0.2">
      <c r="A786" s="1"/>
      <c r="B786" s="1"/>
      <c r="C786" s="6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1"/>
      <c r="T786" s="1"/>
      <c r="U786" s="1"/>
    </row>
    <row r="787" spans="1:21" ht="15.75" customHeight="1" x14ac:dyDescent="0.2">
      <c r="A787" s="1"/>
      <c r="B787" s="1"/>
      <c r="C787" s="6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1"/>
      <c r="T787" s="1"/>
      <c r="U787" s="1"/>
    </row>
    <row r="788" spans="1:21" ht="15.75" customHeight="1" x14ac:dyDescent="0.2">
      <c r="A788" s="1"/>
      <c r="B788" s="1"/>
      <c r="C788" s="6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1"/>
      <c r="T788" s="1"/>
      <c r="U788" s="1"/>
    </row>
    <row r="789" spans="1:21" ht="15.75" customHeight="1" x14ac:dyDescent="0.2">
      <c r="A789" s="1"/>
      <c r="B789" s="1"/>
      <c r="C789" s="6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1"/>
      <c r="T789" s="1"/>
      <c r="U789" s="1"/>
    </row>
    <row r="790" spans="1:21" ht="15.75" customHeight="1" x14ac:dyDescent="0.2">
      <c r="A790" s="1"/>
      <c r="B790" s="1"/>
      <c r="C790" s="6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1"/>
      <c r="T790" s="1"/>
      <c r="U790" s="1"/>
    </row>
    <row r="791" spans="1:21" ht="15.75" customHeight="1" x14ac:dyDescent="0.2">
      <c r="A791" s="1"/>
      <c r="B791" s="1"/>
      <c r="C791" s="6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1"/>
      <c r="T791" s="1"/>
      <c r="U791" s="1"/>
    </row>
    <row r="792" spans="1:21" ht="15.75" customHeight="1" x14ac:dyDescent="0.2">
      <c r="A792" s="1"/>
      <c r="B792" s="1"/>
      <c r="C792" s="6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1"/>
      <c r="T792" s="1"/>
      <c r="U792" s="1"/>
    </row>
    <row r="793" spans="1:21" ht="15.75" customHeight="1" x14ac:dyDescent="0.2">
      <c r="A793" s="1"/>
      <c r="B793" s="1"/>
      <c r="C793" s="6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1"/>
      <c r="T793" s="1"/>
      <c r="U793" s="1"/>
    </row>
    <row r="794" spans="1:21" ht="15.75" customHeight="1" x14ac:dyDescent="0.2">
      <c r="A794" s="1"/>
      <c r="B794" s="1"/>
      <c r="C794" s="6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1"/>
      <c r="T794" s="1"/>
      <c r="U794" s="1"/>
    </row>
    <row r="795" spans="1:21" ht="15.75" customHeight="1" x14ac:dyDescent="0.2">
      <c r="A795" s="1"/>
      <c r="B795" s="1"/>
      <c r="C795" s="6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1"/>
      <c r="T795" s="1"/>
      <c r="U795" s="1"/>
    </row>
    <row r="796" spans="1:21" ht="15.75" customHeight="1" x14ac:dyDescent="0.2">
      <c r="A796" s="1"/>
      <c r="B796" s="1"/>
      <c r="C796" s="6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1"/>
      <c r="T796" s="1"/>
      <c r="U796" s="1"/>
    </row>
    <row r="797" spans="1:21" ht="15.75" customHeight="1" x14ac:dyDescent="0.2">
      <c r="A797" s="1"/>
      <c r="B797" s="1"/>
      <c r="C797" s="6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1"/>
      <c r="T797" s="1"/>
      <c r="U797" s="1"/>
    </row>
    <row r="798" spans="1:21" ht="15.75" customHeight="1" x14ac:dyDescent="0.2">
      <c r="A798" s="1"/>
      <c r="B798" s="1"/>
      <c r="C798" s="6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1"/>
      <c r="T798" s="1"/>
      <c r="U798" s="1"/>
    </row>
    <row r="799" spans="1:21" ht="15.75" customHeight="1" x14ac:dyDescent="0.2">
      <c r="A799" s="1"/>
      <c r="B799" s="1"/>
      <c r="C799" s="6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1"/>
      <c r="T799" s="1"/>
      <c r="U799" s="1"/>
    </row>
    <row r="800" spans="1:21" ht="15.75" customHeight="1" x14ac:dyDescent="0.2">
      <c r="A800" s="1"/>
      <c r="B800" s="1"/>
      <c r="C800" s="6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1"/>
      <c r="T800" s="1"/>
      <c r="U800" s="1"/>
    </row>
    <row r="801" spans="1:21" ht="15.75" customHeight="1" x14ac:dyDescent="0.2">
      <c r="A801" s="1"/>
      <c r="B801" s="1"/>
      <c r="C801" s="6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1"/>
      <c r="T801" s="1"/>
      <c r="U801" s="1"/>
    </row>
    <row r="802" spans="1:21" ht="15.75" customHeight="1" x14ac:dyDescent="0.2">
      <c r="A802" s="1"/>
      <c r="B802" s="1"/>
      <c r="C802" s="6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1"/>
      <c r="T802" s="1"/>
      <c r="U802" s="1"/>
    </row>
    <row r="803" spans="1:21" ht="15.75" customHeight="1" x14ac:dyDescent="0.2">
      <c r="A803" s="1"/>
      <c r="B803" s="1"/>
      <c r="C803" s="6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1"/>
      <c r="T803" s="1"/>
      <c r="U803" s="1"/>
    </row>
    <row r="804" spans="1:21" ht="15.75" customHeight="1" x14ac:dyDescent="0.2">
      <c r="A804" s="1"/>
      <c r="B804" s="1"/>
      <c r="C804" s="6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1"/>
      <c r="T804" s="1"/>
      <c r="U804" s="1"/>
    </row>
    <row r="805" spans="1:21" ht="15.75" customHeight="1" x14ac:dyDescent="0.2">
      <c r="A805" s="1"/>
      <c r="B805" s="1"/>
      <c r="C805" s="6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1"/>
      <c r="T805" s="1"/>
      <c r="U805" s="1"/>
    </row>
    <row r="806" spans="1:21" ht="15.75" customHeight="1" x14ac:dyDescent="0.2">
      <c r="A806" s="1"/>
      <c r="B806" s="1"/>
      <c r="C806" s="6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1"/>
      <c r="T806" s="1"/>
      <c r="U806" s="1"/>
    </row>
    <row r="807" spans="1:21" ht="15.75" customHeight="1" x14ac:dyDescent="0.2">
      <c r="A807" s="1"/>
      <c r="B807" s="1"/>
      <c r="C807" s="6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1"/>
      <c r="T807" s="1"/>
      <c r="U807" s="1"/>
    </row>
    <row r="808" spans="1:21" ht="15.75" customHeight="1" x14ac:dyDescent="0.2">
      <c r="A808" s="1"/>
      <c r="B808" s="1"/>
      <c r="C808" s="6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1"/>
      <c r="T808" s="1"/>
      <c r="U808" s="1"/>
    </row>
    <row r="809" spans="1:21" ht="15.75" customHeight="1" x14ac:dyDescent="0.2">
      <c r="A809" s="1"/>
      <c r="B809" s="1"/>
      <c r="C809" s="6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1"/>
      <c r="T809" s="1"/>
      <c r="U809" s="1"/>
    </row>
    <row r="810" spans="1:21" ht="15.75" customHeight="1" x14ac:dyDescent="0.2">
      <c r="A810" s="1"/>
      <c r="B810" s="1"/>
      <c r="C810" s="6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1"/>
      <c r="T810" s="1"/>
      <c r="U810" s="1"/>
    </row>
    <row r="811" spans="1:21" ht="15.75" customHeight="1" x14ac:dyDescent="0.2">
      <c r="A811" s="1"/>
      <c r="B811" s="1"/>
      <c r="C811" s="6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1"/>
      <c r="T811" s="1"/>
      <c r="U811" s="1"/>
    </row>
    <row r="812" spans="1:21" ht="15.75" customHeight="1" x14ac:dyDescent="0.2">
      <c r="A812" s="1"/>
      <c r="B812" s="1"/>
      <c r="C812" s="6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1"/>
      <c r="T812" s="1"/>
      <c r="U812" s="1"/>
    </row>
    <row r="813" spans="1:21" ht="15.75" customHeight="1" x14ac:dyDescent="0.2">
      <c r="A813" s="1"/>
      <c r="B813" s="1"/>
      <c r="C813" s="6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1"/>
      <c r="T813" s="1"/>
      <c r="U813" s="1"/>
    </row>
    <row r="814" spans="1:21" ht="15.75" customHeight="1" x14ac:dyDescent="0.2">
      <c r="A814" s="1"/>
      <c r="B814" s="1"/>
      <c r="C814" s="6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1"/>
      <c r="T814" s="1"/>
      <c r="U814" s="1"/>
    </row>
    <row r="815" spans="1:21" ht="15.75" customHeight="1" x14ac:dyDescent="0.2">
      <c r="A815" s="1"/>
      <c r="B815" s="1"/>
      <c r="C815" s="6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1"/>
      <c r="T815" s="1"/>
      <c r="U815" s="1"/>
    </row>
    <row r="816" spans="1:21" ht="15.75" customHeight="1" x14ac:dyDescent="0.2">
      <c r="A816" s="1"/>
      <c r="B816" s="1"/>
      <c r="C816" s="6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1"/>
      <c r="T816" s="1"/>
      <c r="U816" s="1"/>
    </row>
    <row r="817" spans="1:21" ht="15.75" customHeight="1" x14ac:dyDescent="0.2">
      <c r="A817" s="1"/>
      <c r="B817" s="1"/>
      <c r="C817" s="6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1"/>
      <c r="T817" s="1"/>
      <c r="U817" s="1"/>
    </row>
    <row r="818" spans="1:21" ht="15.75" customHeight="1" x14ac:dyDescent="0.2">
      <c r="A818" s="1"/>
      <c r="B818" s="1"/>
      <c r="C818" s="6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1"/>
      <c r="T818" s="1"/>
      <c r="U818" s="1"/>
    </row>
    <row r="819" spans="1:21" ht="15.75" customHeight="1" x14ac:dyDescent="0.2">
      <c r="A819" s="1"/>
      <c r="B819" s="1"/>
      <c r="C819" s="6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1"/>
      <c r="T819" s="1"/>
      <c r="U819" s="1"/>
    </row>
    <row r="820" spans="1:21" ht="15.75" customHeight="1" x14ac:dyDescent="0.2">
      <c r="A820" s="1"/>
      <c r="B820" s="1"/>
      <c r="C820" s="6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1"/>
      <c r="T820" s="1"/>
      <c r="U820" s="1"/>
    </row>
    <row r="821" spans="1:21" ht="15.75" customHeight="1" x14ac:dyDescent="0.2">
      <c r="A821" s="1"/>
      <c r="B821" s="1"/>
      <c r="C821" s="6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1"/>
      <c r="T821" s="1"/>
      <c r="U821" s="1"/>
    </row>
    <row r="822" spans="1:21" ht="15.75" customHeight="1" x14ac:dyDescent="0.2">
      <c r="A822" s="1"/>
      <c r="B822" s="1"/>
      <c r="C822" s="6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1"/>
      <c r="T822" s="1"/>
      <c r="U822" s="1"/>
    </row>
    <row r="823" spans="1:21" ht="15.75" customHeight="1" x14ac:dyDescent="0.2">
      <c r="A823" s="1"/>
      <c r="B823" s="1"/>
      <c r="C823" s="6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1"/>
      <c r="T823" s="1"/>
      <c r="U823" s="1"/>
    </row>
    <row r="824" spans="1:21" ht="15.75" customHeight="1" x14ac:dyDescent="0.2">
      <c r="A824" s="1"/>
      <c r="B824" s="1"/>
      <c r="C824" s="6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1"/>
      <c r="T824" s="1"/>
      <c r="U824" s="1"/>
    </row>
    <row r="825" spans="1:21" ht="15.75" customHeight="1" x14ac:dyDescent="0.2">
      <c r="A825" s="1"/>
      <c r="B825" s="1"/>
      <c r="C825" s="6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1"/>
      <c r="T825" s="1"/>
      <c r="U825" s="1"/>
    </row>
    <row r="826" spans="1:21" ht="15.75" customHeight="1" x14ac:dyDescent="0.2">
      <c r="A826" s="1"/>
      <c r="B826" s="1"/>
      <c r="C826" s="6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1"/>
      <c r="T826" s="1"/>
      <c r="U826" s="1"/>
    </row>
    <row r="827" spans="1:21" ht="15.75" customHeight="1" x14ac:dyDescent="0.2">
      <c r="A827" s="1"/>
      <c r="B827" s="1"/>
      <c r="C827" s="6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1"/>
      <c r="T827" s="1"/>
      <c r="U827" s="1"/>
    </row>
    <row r="828" spans="1:21" ht="15.75" customHeight="1" x14ac:dyDescent="0.2">
      <c r="A828" s="1"/>
      <c r="B828" s="1"/>
      <c r="C828" s="6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1"/>
      <c r="T828" s="1"/>
      <c r="U828" s="1"/>
    </row>
    <row r="829" spans="1:21" ht="15.75" customHeight="1" x14ac:dyDescent="0.2">
      <c r="A829" s="1"/>
      <c r="B829" s="1"/>
      <c r="C829" s="6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1"/>
      <c r="T829" s="1"/>
      <c r="U829" s="1"/>
    </row>
    <row r="830" spans="1:21" ht="15.75" customHeight="1" x14ac:dyDescent="0.2">
      <c r="A830" s="1"/>
      <c r="B830" s="1"/>
      <c r="C830" s="6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1"/>
      <c r="T830" s="1"/>
      <c r="U830" s="1"/>
    </row>
    <row r="831" spans="1:21" ht="15.75" customHeight="1" x14ac:dyDescent="0.2">
      <c r="A831" s="1"/>
      <c r="B831" s="1"/>
      <c r="C831" s="6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1"/>
      <c r="T831" s="1"/>
      <c r="U831" s="1"/>
    </row>
    <row r="832" spans="1:21" ht="15.75" customHeight="1" x14ac:dyDescent="0.2">
      <c r="A832" s="1"/>
      <c r="B832" s="1"/>
      <c r="C832" s="6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1"/>
      <c r="T832" s="1"/>
      <c r="U832" s="1"/>
    </row>
    <row r="833" spans="1:21" ht="15.75" customHeight="1" x14ac:dyDescent="0.2">
      <c r="A833" s="1"/>
      <c r="B833" s="1"/>
      <c r="C833" s="6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1"/>
      <c r="T833" s="1"/>
      <c r="U833" s="1"/>
    </row>
    <row r="834" spans="1:21" ht="15.75" customHeight="1" x14ac:dyDescent="0.2">
      <c r="A834" s="1"/>
      <c r="B834" s="1"/>
      <c r="C834" s="6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1"/>
      <c r="T834" s="1"/>
      <c r="U834" s="1"/>
    </row>
    <row r="835" spans="1:21" ht="15.75" customHeight="1" x14ac:dyDescent="0.2">
      <c r="A835" s="1"/>
      <c r="B835" s="1"/>
      <c r="C835" s="6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1"/>
      <c r="T835" s="1"/>
      <c r="U835" s="1"/>
    </row>
    <row r="836" spans="1:21" ht="15.75" customHeight="1" x14ac:dyDescent="0.2">
      <c r="A836" s="1"/>
      <c r="B836" s="1"/>
      <c r="C836" s="6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1"/>
      <c r="T836" s="1"/>
      <c r="U836" s="1"/>
    </row>
    <row r="837" spans="1:21" ht="15.75" customHeight="1" x14ac:dyDescent="0.2">
      <c r="A837" s="1"/>
      <c r="B837" s="1"/>
      <c r="C837" s="6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1"/>
      <c r="T837" s="1"/>
      <c r="U837" s="1"/>
    </row>
    <row r="838" spans="1:21" ht="15.75" customHeight="1" x14ac:dyDescent="0.2">
      <c r="A838" s="1"/>
      <c r="B838" s="1"/>
      <c r="C838" s="6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1"/>
      <c r="T838" s="1"/>
      <c r="U838" s="1"/>
    </row>
    <row r="839" spans="1:21" ht="15.75" customHeight="1" x14ac:dyDescent="0.2">
      <c r="A839" s="1"/>
      <c r="B839" s="1"/>
      <c r="C839" s="6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1"/>
      <c r="T839" s="1"/>
      <c r="U839" s="1"/>
    </row>
    <row r="840" spans="1:21" ht="15.75" customHeight="1" x14ac:dyDescent="0.2">
      <c r="A840" s="1"/>
      <c r="B840" s="1"/>
      <c r="C840" s="6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1"/>
      <c r="T840" s="1"/>
      <c r="U840" s="1"/>
    </row>
    <row r="841" spans="1:21" ht="15.75" customHeight="1" x14ac:dyDescent="0.2">
      <c r="A841" s="1"/>
      <c r="B841" s="1"/>
      <c r="C841" s="6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1"/>
      <c r="T841" s="1"/>
      <c r="U841" s="1"/>
    </row>
    <row r="842" spans="1:21" ht="15.75" customHeight="1" x14ac:dyDescent="0.2">
      <c r="A842" s="1"/>
      <c r="B842" s="1"/>
      <c r="C842" s="6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1"/>
      <c r="T842" s="1"/>
      <c r="U842" s="1"/>
    </row>
    <row r="843" spans="1:21" ht="15.75" customHeight="1" x14ac:dyDescent="0.2">
      <c r="A843" s="1"/>
      <c r="B843" s="1"/>
      <c r="C843" s="6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1"/>
      <c r="T843" s="1"/>
      <c r="U843" s="1"/>
    </row>
    <row r="844" spans="1:21" ht="15.75" customHeight="1" x14ac:dyDescent="0.2">
      <c r="A844" s="1"/>
      <c r="B844" s="1"/>
      <c r="C844" s="6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1"/>
      <c r="T844" s="1"/>
      <c r="U844" s="1"/>
    </row>
    <row r="845" spans="1:21" ht="15.75" customHeight="1" x14ac:dyDescent="0.2">
      <c r="A845" s="1"/>
      <c r="B845" s="1"/>
      <c r="C845" s="6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1"/>
      <c r="T845" s="1"/>
      <c r="U845" s="1"/>
    </row>
    <row r="846" spans="1:21" ht="15.75" customHeight="1" x14ac:dyDescent="0.2">
      <c r="A846" s="1"/>
      <c r="B846" s="1"/>
      <c r="C846" s="6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1"/>
      <c r="T846" s="1"/>
      <c r="U846" s="1"/>
    </row>
    <row r="847" spans="1:21" ht="15.75" customHeight="1" x14ac:dyDescent="0.2">
      <c r="A847" s="1"/>
      <c r="B847" s="1"/>
      <c r="C847" s="6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1"/>
      <c r="T847" s="1"/>
      <c r="U847" s="1"/>
    </row>
    <row r="848" spans="1:21" ht="15.75" customHeight="1" x14ac:dyDescent="0.2">
      <c r="A848" s="1"/>
      <c r="B848" s="1"/>
      <c r="C848" s="6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1"/>
      <c r="T848" s="1"/>
      <c r="U848" s="1"/>
    </row>
    <row r="849" spans="1:21" ht="15.75" customHeight="1" x14ac:dyDescent="0.2">
      <c r="A849" s="1"/>
      <c r="B849" s="1"/>
      <c r="C849" s="6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1"/>
      <c r="T849" s="1"/>
      <c r="U849" s="1"/>
    </row>
    <row r="850" spans="1:21" ht="15.75" customHeight="1" x14ac:dyDescent="0.2">
      <c r="A850" s="1"/>
      <c r="B850" s="1"/>
      <c r="C850" s="6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1"/>
      <c r="T850" s="1"/>
      <c r="U850" s="1"/>
    </row>
    <row r="851" spans="1:21" ht="15.75" customHeight="1" x14ac:dyDescent="0.2">
      <c r="A851" s="1"/>
      <c r="B851" s="1"/>
      <c r="C851" s="6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1"/>
      <c r="T851" s="1"/>
      <c r="U851" s="1"/>
    </row>
    <row r="852" spans="1:21" ht="15.75" customHeight="1" x14ac:dyDescent="0.2">
      <c r="A852" s="1"/>
      <c r="B852" s="1"/>
      <c r="C852" s="6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1"/>
      <c r="T852" s="1"/>
      <c r="U852" s="1"/>
    </row>
    <row r="853" spans="1:21" ht="15.75" customHeight="1" x14ac:dyDescent="0.2">
      <c r="A853" s="1"/>
      <c r="B853" s="1"/>
      <c r="C853" s="6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1"/>
      <c r="T853" s="1"/>
      <c r="U853" s="1"/>
    </row>
    <row r="854" spans="1:21" ht="15.75" customHeight="1" x14ac:dyDescent="0.2">
      <c r="A854" s="1"/>
      <c r="B854" s="1"/>
      <c r="C854" s="6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1"/>
      <c r="T854" s="1"/>
      <c r="U854" s="1"/>
    </row>
    <row r="855" spans="1:21" ht="15.75" customHeight="1" x14ac:dyDescent="0.2">
      <c r="A855" s="1"/>
      <c r="B855" s="1"/>
      <c r="C855" s="6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1"/>
      <c r="T855" s="1"/>
      <c r="U855" s="1"/>
    </row>
    <row r="856" spans="1:21" ht="15.75" customHeight="1" x14ac:dyDescent="0.2">
      <c r="A856" s="1"/>
      <c r="B856" s="1"/>
      <c r="C856" s="6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1"/>
      <c r="T856" s="1"/>
      <c r="U856" s="1"/>
    </row>
    <row r="857" spans="1:21" ht="15.75" customHeight="1" x14ac:dyDescent="0.2">
      <c r="A857" s="1"/>
      <c r="B857" s="1"/>
      <c r="C857" s="6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1"/>
      <c r="T857" s="1"/>
      <c r="U857" s="1"/>
    </row>
    <row r="858" spans="1:21" ht="15.75" customHeight="1" x14ac:dyDescent="0.2">
      <c r="A858" s="1"/>
      <c r="B858" s="1"/>
      <c r="C858" s="6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1"/>
      <c r="T858" s="1"/>
      <c r="U858" s="1"/>
    </row>
    <row r="859" spans="1:21" ht="15.75" customHeight="1" x14ac:dyDescent="0.2">
      <c r="A859" s="1"/>
      <c r="B859" s="1"/>
      <c r="C859" s="6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1"/>
      <c r="T859" s="1"/>
      <c r="U859" s="1"/>
    </row>
    <row r="860" spans="1:21" ht="15.75" customHeight="1" x14ac:dyDescent="0.2">
      <c r="A860" s="1"/>
      <c r="B860" s="1"/>
      <c r="C860" s="6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1"/>
      <c r="T860" s="1"/>
      <c r="U860" s="1"/>
    </row>
    <row r="861" spans="1:21" ht="15.75" customHeight="1" x14ac:dyDescent="0.2">
      <c r="A861" s="1"/>
      <c r="B861" s="1"/>
      <c r="C861" s="6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1"/>
      <c r="T861" s="1"/>
      <c r="U861" s="1"/>
    </row>
    <row r="862" spans="1:21" ht="15.75" customHeight="1" x14ac:dyDescent="0.2">
      <c r="A862" s="1"/>
      <c r="B862" s="1"/>
      <c r="C862" s="6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1"/>
      <c r="T862" s="1"/>
      <c r="U862" s="1"/>
    </row>
    <row r="863" spans="1:21" ht="15.75" customHeight="1" x14ac:dyDescent="0.2">
      <c r="A863" s="1"/>
      <c r="B863" s="1"/>
      <c r="C863" s="6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1"/>
      <c r="T863" s="1"/>
      <c r="U863" s="1"/>
    </row>
    <row r="864" spans="1:21" ht="15.75" customHeight="1" x14ac:dyDescent="0.2">
      <c r="A864" s="1"/>
      <c r="B864" s="1"/>
      <c r="C864" s="6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1"/>
      <c r="T864" s="1"/>
      <c r="U864" s="1"/>
    </row>
    <row r="865" spans="1:21" ht="15.75" customHeight="1" x14ac:dyDescent="0.2">
      <c r="A865" s="1"/>
      <c r="B865" s="1"/>
      <c r="C865" s="6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1"/>
      <c r="T865" s="1"/>
      <c r="U865" s="1"/>
    </row>
    <row r="866" spans="1:21" ht="15.75" customHeight="1" x14ac:dyDescent="0.2">
      <c r="A866" s="1"/>
      <c r="B866" s="1"/>
      <c r="C866" s="6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1"/>
      <c r="T866" s="1"/>
      <c r="U866" s="1"/>
    </row>
    <row r="867" spans="1:21" ht="15.75" customHeight="1" x14ac:dyDescent="0.2">
      <c r="A867" s="1"/>
      <c r="B867" s="1"/>
      <c r="C867" s="6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1"/>
      <c r="T867" s="1"/>
      <c r="U867" s="1"/>
    </row>
    <row r="868" spans="1:21" ht="15.75" customHeight="1" x14ac:dyDescent="0.2">
      <c r="A868" s="1"/>
      <c r="B868" s="1"/>
      <c r="C868" s="6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1"/>
      <c r="T868" s="1"/>
      <c r="U868" s="1"/>
    </row>
    <row r="869" spans="1:21" ht="15.75" customHeight="1" x14ac:dyDescent="0.2">
      <c r="A869" s="1"/>
      <c r="B869" s="1"/>
      <c r="C869" s="6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1"/>
      <c r="T869" s="1"/>
      <c r="U869" s="1"/>
    </row>
    <row r="870" spans="1:21" ht="15.75" customHeight="1" x14ac:dyDescent="0.2">
      <c r="A870" s="1"/>
      <c r="B870" s="1"/>
      <c r="C870" s="6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1"/>
      <c r="T870" s="1"/>
      <c r="U870" s="1"/>
    </row>
    <row r="871" spans="1:21" ht="15.75" customHeight="1" x14ac:dyDescent="0.2">
      <c r="A871" s="1"/>
      <c r="B871" s="1"/>
      <c r="C871" s="6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1"/>
      <c r="T871" s="1"/>
      <c r="U871" s="1"/>
    </row>
    <row r="872" spans="1:21" ht="15.75" customHeight="1" x14ac:dyDescent="0.2">
      <c r="A872" s="1"/>
      <c r="B872" s="1"/>
      <c r="C872" s="6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1"/>
      <c r="T872" s="1"/>
      <c r="U872" s="1"/>
    </row>
    <row r="873" spans="1:21" ht="15.75" customHeight="1" x14ac:dyDescent="0.2">
      <c r="A873" s="1"/>
      <c r="B873" s="1"/>
      <c r="C873" s="6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1"/>
      <c r="T873" s="1"/>
      <c r="U873" s="1"/>
    </row>
    <row r="874" spans="1:21" ht="15.75" customHeight="1" x14ac:dyDescent="0.2">
      <c r="A874" s="1"/>
      <c r="B874" s="1"/>
      <c r="C874" s="6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1"/>
      <c r="T874" s="1"/>
      <c r="U874" s="1"/>
    </row>
    <row r="875" spans="1:21" ht="15.75" customHeight="1" x14ac:dyDescent="0.2">
      <c r="A875" s="1"/>
      <c r="B875" s="1"/>
      <c r="C875" s="6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1"/>
      <c r="T875" s="1"/>
      <c r="U875" s="1"/>
    </row>
    <row r="876" spans="1:21" ht="15.75" customHeight="1" x14ac:dyDescent="0.2">
      <c r="A876" s="1"/>
      <c r="B876" s="1"/>
      <c r="C876" s="6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1"/>
      <c r="T876" s="1"/>
      <c r="U876" s="1"/>
    </row>
    <row r="877" spans="1:21" ht="15.75" customHeight="1" x14ac:dyDescent="0.2">
      <c r="A877" s="1"/>
      <c r="B877" s="1"/>
      <c r="C877" s="6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1"/>
      <c r="T877" s="1"/>
      <c r="U877" s="1"/>
    </row>
    <row r="878" spans="1:21" ht="15.75" customHeight="1" x14ac:dyDescent="0.2">
      <c r="A878" s="1"/>
      <c r="B878" s="1"/>
      <c r="C878" s="6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1"/>
      <c r="T878" s="1"/>
      <c r="U878" s="1"/>
    </row>
    <row r="879" spans="1:21" ht="15.75" customHeight="1" x14ac:dyDescent="0.2">
      <c r="A879" s="1"/>
      <c r="B879" s="1"/>
      <c r="C879" s="6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1"/>
      <c r="T879" s="1"/>
      <c r="U879" s="1"/>
    </row>
    <row r="880" spans="1:21" ht="15.75" customHeight="1" x14ac:dyDescent="0.2">
      <c r="A880" s="1"/>
      <c r="B880" s="1"/>
      <c r="C880" s="6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1"/>
      <c r="T880" s="1"/>
      <c r="U880" s="1"/>
    </row>
    <row r="881" spans="1:21" ht="15.75" customHeight="1" x14ac:dyDescent="0.2">
      <c r="A881" s="1"/>
      <c r="B881" s="1"/>
      <c r="C881" s="6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1"/>
      <c r="T881" s="1"/>
      <c r="U881" s="1"/>
    </row>
    <row r="882" spans="1:21" ht="15.75" customHeight="1" x14ac:dyDescent="0.2">
      <c r="A882" s="1"/>
      <c r="B882" s="1"/>
      <c r="C882" s="6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1"/>
      <c r="T882" s="1"/>
      <c r="U882" s="1"/>
    </row>
    <row r="883" spans="1:21" ht="15.75" customHeight="1" x14ac:dyDescent="0.2">
      <c r="A883" s="1"/>
      <c r="B883" s="1"/>
      <c r="C883" s="6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1"/>
      <c r="T883" s="1"/>
      <c r="U883" s="1"/>
    </row>
    <row r="884" spans="1:21" ht="15.75" customHeight="1" x14ac:dyDescent="0.2">
      <c r="A884" s="1"/>
      <c r="B884" s="1"/>
      <c r="C884" s="6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1"/>
      <c r="T884" s="1"/>
      <c r="U884" s="1"/>
    </row>
    <row r="885" spans="1:21" ht="15.75" customHeight="1" x14ac:dyDescent="0.2">
      <c r="A885" s="1"/>
      <c r="B885" s="1"/>
      <c r="C885" s="6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1"/>
      <c r="T885" s="1"/>
      <c r="U885" s="1"/>
    </row>
    <row r="886" spans="1:21" ht="15.75" customHeight="1" x14ac:dyDescent="0.2">
      <c r="A886" s="1"/>
      <c r="B886" s="1"/>
      <c r="C886" s="6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1"/>
      <c r="T886" s="1"/>
      <c r="U886" s="1"/>
    </row>
    <row r="887" spans="1:21" ht="15.75" customHeight="1" x14ac:dyDescent="0.2">
      <c r="A887" s="1"/>
      <c r="B887" s="1"/>
      <c r="C887" s="6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1"/>
      <c r="T887" s="1"/>
      <c r="U887" s="1"/>
    </row>
    <row r="888" spans="1:21" ht="15.75" customHeight="1" x14ac:dyDescent="0.2">
      <c r="A888" s="1"/>
      <c r="B888" s="1"/>
      <c r="C888" s="6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1"/>
      <c r="T888" s="1"/>
      <c r="U888" s="1"/>
    </row>
    <row r="889" spans="1:21" ht="15.75" customHeight="1" x14ac:dyDescent="0.2">
      <c r="A889" s="1"/>
      <c r="B889" s="1"/>
      <c r="C889" s="6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1"/>
      <c r="T889" s="1"/>
      <c r="U889" s="1"/>
    </row>
    <row r="890" spans="1:21" ht="15.75" customHeight="1" x14ac:dyDescent="0.2">
      <c r="A890" s="1"/>
      <c r="B890" s="1"/>
      <c r="C890" s="6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1"/>
      <c r="T890" s="1"/>
      <c r="U890" s="1"/>
    </row>
    <row r="891" spans="1:21" ht="15.75" customHeight="1" x14ac:dyDescent="0.2">
      <c r="A891" s="1"/>
      <c r="B891" s="1"/>
      <c r="C891" s="6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1"/>
      <c r="T891" s="1"/>
      <c r="U891" s="1"/>
    </row>
    <row r="892" spans="1:21" ht="15.75" customHeight="1" x14ac:dyDescent="0.2">
      <c r="A892" s="1"/>
      <c r="B892" s="1"/>
      <c r="C892" s="6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1"/>
      <c r="T892" s="1"/>
      <c r="U892" s="1"/>
    </row>
    <row r="893" spans="1:21" ht="15.75" customHeight="1" x14ac:dyDescent="0.2">
      <c r="A893" s="1"/>
      <c r="B893" s="1"/>
      <c r="C893" s="6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1"/>
      <c r="T893" s="1"/>
      <c r="U893" s="1"/>
    </row>
    <row r="894" spans="1:21" ht="15.75" customHeight="1" x14ac:dyDescent="0.2">
      <c r="A894" s="1"/>
      <c r="B894" s="1"/>
      <c r="C894" s="6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1"/>
      <c r="T894" s="1"/>
      <c r="U894" s="1"/>
    </row>
    <row r="895" spans="1:21" ht="15.75" customHeight="1" x14ac:dyDescent="0.2">
      <c r="A895" s="1"/>
      <c r="B895" s="1"/>
      <c r="C895" s="6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1"/>
      <c r="T895" s="1"/>
      <c r="U895" s="1"/>
    </row>
    <row r="896" spans="1:21" ht="15.75" customHeight="1" x14ac:dyDescent="0.2">
      <c r="A896" s="1"/>
      <c r="B896" s="1"/>
      <c r="C896" s="6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1"/>
      <c r="T896" s="1"/>
      <c r="U896" s="1"/>
    </row>
    <row r="897" spans="1:21" ht="15.75" customHeight="1" x14ac:dyDescent="0.2">
      <c r="A897" s="1"/>
      <c r="B897" s="1"/>
      <c r="C897" s="6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1"/>
      <c r="T897" s="1"/>
      <c r="U897" s="1"/>
    </row>
    <row r="898" spans="1:21" ht="15.75" customHeight="1" x14ac:dyDescent="0.2">
      <c r="A898" s="1"/>
      <c r="B898" s="1"/>
      <c r="C898" s="6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1"/>
      <c r="T898" s="1"/>
      <c r="U898" s="1"/>
    </row>
    <row r="899" spans="1:21" ht="15.75" customHeight="1" x14ac:dyDescent="0.2">
      <c r="A899" s="1"/>
      <c r="B899" s="1"/>
      <c r="C899" s="6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1"/>
      <c r="T899" s="1"/>
      <c r="U899" s="1"/>
    </row>
    <row r="900" spans="1:21" ht="15.75" customHeight="1" x14ac:dyDescent="0.2">
      <c r="A900" s="1"/>
      <c r="B900" s="1"/>
      <c r="C900" s="6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1"/>
      <c r="T900" s="1"/>
      <c r="U900" s="1"/>
    </row>
    <row r="901" spans="1:21" ht="15.75" customHeight="1" x14ac:dyDescent="0.2">
      <c r="A901" s="1"/>
      <c r="B901" s="1"/>
      <c r="C901" s="6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1"/>
      <c r="T901" s="1"/>
      <c r="U901" s="1"/>
    </row>
    <row r="902" spans="1:21" ht="15.75" customHeight="1" x14ac:dyDescent="0.2">
      <c r="A902" s="1"/>
      <c r="B902" s="1"/>
      <c r="C902" s="6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1"/>
      <c r="T902" s="1"/>
      <c r="U902" s="1"/>
    </row>
    <row r="903" spans="1:21" ht="15.75" customHeight="1" x14ac:dyDescent="0.2">
      <c r="A903" s="1"/>
      <c r="B903" s="1"/>
      <c r="C903" s="6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1"/>
      <c r="T903" s="1"/>
      <c r="U903" s="1"/>
    </row>
    <row r="904" spans="1:21" ht="15.75" customHeight="1" x14ac:dyDescent="0.2">
      <c r="A904" s="1"/>
      <c r="B904" s="1"/>
      <c r="C904" s="6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1"/>
      <c r="T904" s="1"/>
      <c r="U904" s="1"/>
    </row>
    <row r="905" spans="1:21" ht="15.75" customHeight="1" x14ac:dyDescent="0.2">
      <c r="A905" s="1"/>
      <c r="B905" s="1"/>
      <c r="C905" s="6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1"/>
      <c r="T905" s="1"/>
      <c r="U905" s="1"/>
    </row>
    <row r="906" spans="1:21" ht="15.75" customHeight="1" x14ac:dyDescent="0.2">
      <c r="A906" s="1"/>
      <c r="B906" s="1"/>
      <c r="C906" s="6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1"/>
      <c r="T906" s="1"/>
      <c r="U906" s="1"/>
    </row>
    <row r="907" spans="1:21" ht="15.75" customHeight="1" x14ac:dyDescent="0.2">
      <c r="A907" s="1"/>
      <c r="B907" s="1"/>
      <c r="C907" s="6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1"/>
      <c r="T907" s="1"/>
      <c r="U907" s="1"/>
    </row>
    <row r="908" spans="1:21" ht="15.75" customHeight="1" x14ac:dyDescent="0.2">
      <c r="A908" s="1"/>
      <c r="B908" s="1"/>
      <c r="C908" s="6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1"/>
      <c r="T908" s="1"/>
      <c r="U908" s="1"/>
    </row>
    <row r="909" spans="1:21" ht="15.75" customHeight="1" x14ac:dyDescent="0.2">
      <c r="A909" s="1"/>
      <c r="B909" s="1"/>
      <c r="C909" s="6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1"/>
      <c r="T909" s="1"/>
      <c r="U909" s="1"/>
    </row>
    <row r="910" spans="1:21" ht="15.75" customHeight="1" x14ac:dyDescent="0.2">
      <c r="A910" s="1"/>
      <c r="B910" s="1"/>
      <c r="C910" s="6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1"/>
      <c r="T910" s="1"/>
      <c r="U910" s="1"/>
    </row>
    <row r="911" spans="1:21" ht="15.75" customHeight="1" x14ac:dyDescent="0.2">
      <c r="A911" s="1"/>
      <c r="B911" s="1"/>
      <c r="C911" s="6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1"/>
      <c r="T911" s="1"/>
      <c r="U911" s="1"/>
    </row>
    <row r="912" spans="1:21" ht="15.75" customHeight="1" x14ac:dyDescent="0.2">
      <c r="A912" s="1"/>
      <c r="B912" s="1"/>
      <c r="C912" s="6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1"/>
      <c r="T912" s="1"/>
      <c r="U912" s="1"/>
    </row>
    <row r="913" spans="1:21" ht="15.75" customHeight="1" x14ac:dyDescent="0.2">
      <c r="A913" s="1"/>
      <c r="B913" s="1"/>
      <c r="C913" s="6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1"/>
      <c r="T913" s="1"/>
      <c r="U913" s="1"/>
    </row>
    <row r="914" spans="1:21" ht="15.75" customHeight="1" x14ac:dyDescent="0.2">
      <c r="A914" s="1"/>
      <c r="B914" s="1"/>
      <c r="C914" s="6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1"/>
      <c r="T914" s="1"/>
      <c r="U914" s="1"/>
    </row>
    <row r="915" spans="1:21" ht="15.75" customHeight="1" x14ac:dyDescent="0.2">
      <c r="A915" s="1"/>
      <c r="B915" s="1"/>
      <c r="C915" s="6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1"/>
      <c r="T915" s="1"/>
      <c r="U915" s="1"/>
    </row>
    <row r="916" spans="1:21" ht="15.75" customHeight="1" x14ac:dyDescent="0.2">
      <c r="A916" s="1"/>
      <c r="B916" s="1"/>
      <c r="C916" s="6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1"/>
      <c r="T916" s="1"/>
      <c r="U916" s="1"/>
    </row>
    <row r="917" spans="1:21" ht="15.75" customHeight="1" x14ac:dyDescent="0.2">
      <c r="A917" s="1"/>
      <c r="B917" s="1"/>
      <c r="C917" s="6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1"/>
      <c r="T917" s="1"/>
      <c r="U917" s="1"/>
    </row>
    <row r="918" spans="1:21" ht="15.75" customHeight="1" x14ac:dyDescent="0.2">
      <c r="A918" s="1"/>
      <c r="B918" s="1"/>
      <c r="C918" s="6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1"/>
      <c r="T918" s="1"/>
      <c r="U918" s="1"/>
    </row>
    <row r="919" spans="1:21" ht="15.75" customHeight="1" x14ac:dyDescent="0.2">
      <c r="A919" s="1"/>
      <c r="B919" s="1"/>
      <c r="C919" s="6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1"/>
      <c r="T919" s="1"/>
      <c r="U919" s="1"/>
    </row>
    <row r="920" spans="1:21" ht="15.75" customHeight="1" x14ac:dyDescent="0.2">
      <c r="A920" s="1"/>
      <c r="B920" s="1"/>
      <c r="C920" s="6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1"/>
      <c r="T920" s="1"/>
      <c r="U920" s="1"/>
    </row>
    <row r="921" spans="1:21" ht="15.75" customHeight="1" x14ac:dyDescent="0.2">
      <c r="A921" s="1"/>
      <c r="B921" s="1"/>
      <c r="C921" s="6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1"/>
      <c r="T921" s="1"/>
      <c r="U921" s="1"/>
    </row>
    <row r="922" spans="1:21" ht="15.75" customHeight="1" x14ac:dyDescent="0.2">
      <c r="A922" s="1"/>
      <c r="B922" s="1"/>
      <c r="C922" s="6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1"/>
      <c r="T922" s="1"/>
      <c r="U922" s="1"/>
    </row>
    <row r="923" spans="1:21" ht="15.75" customHeight="1" x14ac:dyDescent="0.2">
      <c r="A923" s="1"/>
      <c r="B923" s="1"/>
      <c r="C923" s="6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1"/>
      <c r="T923" s="1"/>
      <c r="U923" s="1"/>
    </row>
    <row r="924" spans="1:21" ht="15.75" customHeight="1" x14ac:dyDescent="0.2">
      <c r="A924" s="1"/>
      <c r="B924" s="1"/>
      <c r="C924" s="6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1"/>
      <c r="T924" s="1"/>
      <c r="U924" s="1"/>
    </row>
    <row r="925" spans="1:21" ht="15.75" customHeight="1" x14ac:dyDescent="0.2">
      <c r="A925" s="1"/>
      <c r="B925" s="1"/>
      <c r="C925" s="6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1"/>
      <c r="T925" s="1"/>
      <c r="U925" s="1"/>
    </row>
    <row r="926" spans="1:21" ht="15.75" customHeight="1" x14ac:dyDescent="0.2">
      <c r="A926" s="1"/>
      <c r="B926" s="1"/>
      <c r="C926" s="6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1"/>
      <c r="T926" s="1"/>
      <c r="U926" s="1"/>
    </row>
    <row r="927" spans="1:21" ht="15.75" customHeight="1" x14ac:dyDescent="0.2">
      <c r="A927" s="1"/>
      <c r="B927" s="1"/>
      <c r="C927" s="6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1"/>
      <c r="T927" s="1"/>
      <c r="U927" s="1"/>
    </row>
    <row r="928" spans="1:21" ht="15.75" customHeight="1" x14ac:dyDescent="0.2">
      <c r="A928" s="1"/>
      <c r="B928" s="1"/>
      <c r="C928" s="6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1"/>
      <c r="T928" s="1"/>
      <c r="U928" s="1"/>
    </row>
    <row r="929" spans="1:21" ht="15.75" customHeight="1" x14ac:dyDescent="0.2">
      <c r="A929" s="1"/>
      <c r="B929" s="1"/>
      <c r="C929" s="6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1"/>
      <c r="T929" s="1"/>
      <c r="U929" s="1"/>
    </row>
    <row r="930" spans="1:21" ht="15.75" customHeight="1" x14ac:dyDescent="0.2">
      <c r="A930" s="1"/>
      <c r="B930" s="1"/>
      <c r="C930" s="6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1"/>
      <c r="T930" s="1"/>
      <c r="U930" s="1"/>
    </row>
    <row r="931" spans="1:21" ht="15.75" customHeight="1" x14ac:dyDescent="0.2">
      <c r="A931" s="1"/>
      <c r="B931" s="1"/>
      <c r="C931" s="6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1"/>
      <c r="T931" s="1"/>
      <c r="U931" s="1"/>
    </row>
    <row r="932" spans="1:21" ht="15.75" customHeight="1" x14ac:dyDescent="0.2">
      <c r="A932" s="1"/>
      <c r="B932" s="1"/>
      <c r="C932" s="6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1"/>
      <c r="T932" s="1"/>
      <c r="U932" s="1"/>
    </row>
    <row r="933" spans="1:21" ht="15.75" customHeight="1" x14ac:dyDescent="0.2">
      <c r="A933" s="1"/>
      <c r="B933" s="1"/>
      <c r="C933" s="6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1"/>
      <c r="T933" s="1"/>
      <c r="U933" s="1"/>
    </row>
    <row r="934" spans="1:21" ht="15.75" customHeight="1" x14ac:dyDescent="0.2">
      <c r="A934" s="1"/>
      <c r="B934" s="1"/>
      <c r="C934" s="6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1"/>
      <c r="T934" s="1"/>
      <c r="U934" s="1"/>
    </row>
    <row r="935" spans="1:21" ht="15.75" customHeight="1" x14ac:dyDescent="0.2">
      <c r="A935" s="1"/>
      <c r="B935" s="1"/>
      <c r="C935" s="6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1"/>
      <c r="T935" s="1"/>
      <c r="U935" s="1"/>
    </row>
    <row r="936" spans="1:21" ht="15.75" customHeight="1" x14ac:dyDescent="0.2">
      <c r="A936" s="1"/>
      <c r="B936" s="1"/>
      <c r="C936" s="6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1"/>
      <c r="T936" s="1"/>
      <c r="U936" s="1"/>
    </row>
    <row r="937" spans="1:21" ht="15.75" customHeight="1" x14ac:dyDescent="0.2">
      <c r="A937" s="1"/>
      <c r="B937" s="1"/>
      <c r="C937" s="6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1"/>
      <c r="T937" s="1"/>
      <c r="U937" s="1"/>
    </row>
    <row r="938" spans="1:21" ht="15.75" customHeight="1" x14ac:dyDescent="0.2">
      <c r="A938" s="1"/>
      <c r="B938" s="1"/>
      <c r="C938" s="6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1"/>
      <c r="T938" s="1"/>
      <c r="U938" s="1"/>
    </row>
    <row r="939" spans="1:21" ht="15.75" customHeight="1" x14ac:dyDescent="0.2">
      <c r="A939" s="1"/>
      <c r="B939" s="1"/>
      <c r="C939" s="6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1"/>
      <c r="T939" s="1"/>
      <c r="U939" s="1"/>
    </row>
    <row r="940" spans="1:21" ht="15.75" customHeight="1" x14ac:dyDescent="0.2">
      <c r="A940" s="1"/>
      <c r="B940" s="1"/>
      <c r="C940" s="6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1"/>
      <c r="T940" s="1"/>
      <c r="U940" s="1"/>
    </row>
    <row r="941" spans="1:21" ht="15.75" customHeight="1" x14ac:dyDescent="0.2">
      <c r="A941" s="1"/>
      <c r="B941" s="1"/>
      <c r="C941" s="6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1"/>
      <c r="T941" s="1"/>
      <c r="U941" s="1"/>
    </row>
    <row r="942" spans="1:21" ht="15.75" customHeight="1" x14ac:dyDescent="0.2">
      <c r="A942" s="1"/>
      <c r="B942" s="1"/>
      <c r="C942" s="6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1"/>
      <c r="T942" s="1"/>
      <c r="U942" s="1"/>
    </row>
    <row r="943" spans="1:21" ht="15.75" customHeight="1" x14ac:dyDescent="0.2">
      <c r="A943" s="1"/>
      <c r="B943" s="1"/>
      <c r="C943" s="6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1"/>
      <c r="T943" s="1"/>
      <c r="U943" s="1"/>
    </row>
    <row r="944" spans="1:21" ht="15.75" customHeight="1" x14ac:dyDescent="0.2">
      <c r="A944" s="1"/>
      <c r="B944" s="1"/>
      <c r="C944" s="6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1"/>
      <c r="T944" s="1"/>
      <c r="U944" s="1"/>
    </row>
    <row r="945" spans="1:21" ht="15.75" customHeight="1" x14ac:dyDescent="0.2">
      <c r="A945" s="1"/>
      <c r="B945" s="1"/>
      <c r="C945" s="6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1"/>
      <c r="T945" s="1"/>
      <c r="U945" s="1"/>
    </row>
    <row r="946" spans="1:21" ht="15.75" customHeight="1" x14ac:dyDescent="0.2">
      <c r="A946" s="1"/>
      <c r="B946" s="1"/>
      <c r="C946" s="6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1"/>
      <c r="T946" s="1"/>
      <c r="U946" s="1"/>
    </row>
    <row r="947" spans="1:21" ht="15.75" customHeight="1" x14ac:dyDescent="0.2">
      <c r="A947" s="1"/>
      <c r="B947" s="1"/>
      <c r="C947" s="6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1"/>
      <c r="T947" s="1"/>
      <c r="U947" s="1"/>
    </row>
    <row r="948" spans="1:21" ht="15.75" customHeight="1" x14ac:dyDescent="0.2">
      <c r="A948" s="1"/>
      <c r="B948" s="1"/>
      <c r="C948" s="6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1"/>
      <c r="T948" s="1"/>
      <c r="U948" s="1"/>
    </row>
    <row r="949" spans="1:21" ht="15.75" customHeight="1" x14ac:dyDescent="0.2">
      <c r="A949" s="1"/>
      <c r="B949" s="1"/>
      <c r="C949" s="6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1"/>
      <c r="T949" s="1"/>
      <c r="U949" s="1"/>
    </row>
    <row r="950" spans="1:21" ht="15.75" customHeight="1" x14ac:dyDescent="0.2">
      <c r="A950" s="1"/>
      <c r="B950" s="1"/>
      <c r="C950" s="6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1"/>
      <c r="T950" s="1"/>
      <c r="U950" s="1"/>
    </row>
    <row r="951" spans="1:21" ht="15.75" customHeight="1" x14ac:dyDescent="0.2">
      <c r="A951" s="1"/>
      <c r="B951" s="1"/>
      <c r="C951" s="6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1"/>
      <c r="T951" s="1"/>
      <c r="U951" s="1"/>
    </row>
    <row r="952" spans="1:21" ht="15.75" customHeight="1" x14ac:dyDescent="0.2">
      <c r="A952" s="1"/>
      <c r="B952" s="1"/>
      <c r="C952" s="6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1"/>
      <c r="T952" s="1"/>
      <c r="U952" s="1"/>
    </row>
    <row r="953" spans="1:21" ht="15.75" customHeight="1" x14ac:dyDescent="0.2">
      <c r="A953" s="1"/>
      <c r="B953" s="1"/>
      <c r="C953" s="6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1"/>
      <c r="T953" s="1"/>
      <c r="U953" s="1"/>
    </row>
    <row r="954" spans="1:21" ht="15.75" customHeight="1" x14ac:dyDescent="0.2">
      <c r="A954" s="1"/>
      <c r="B954" s="1"/>
      <c r="C954" s="6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1"/>
      <c r="T954" s="1"/>
      <c r="U954" s="1"/>
    </row>
    <row r="955" spans="1:21" ht="15.75" customHeight="1" x14ac:dyDescent="0.2">
      <c r="A955" s="1"/>
      <c r="B955" s="1"/>
      <c r="C955" s="6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1"/>
      <c r="T955" s="1"/>
      <c r="U955" s="1"/>
    </row>
    <row r="956" spans="1:21" ht="15.75" customHeight="1" x14ac:dyDescent="0.2">
      <c r="A956" s="1"/>
      <c r="B956" s="1"/>
      <c r="C956" s="6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1"/>
      <c r="T956" s="1"/>
      <c r="U956" s="1"/>
    </row>
    <row r="957" spans="1:21" ht="15.75" customHeight="1" x14ac:dyDescent="0.2">
      <c r="A957" s="1"/>
      <c r="B957" s="1"/>
      <c r="C957" s="6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1"/>
      <c r="T957" s="1"/>
      <c r="U957" s="1"/>
    </row>
    <row r="958" spans="1:21" ht="15.75" customHeight="1" x14ac:dyDescent="0.2">
      <c r="A958" s="1"/>
      <c r="B958" s="1"/>
      <c r="C958" s="6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1"/>
      <c r="T958" s="1"/>
      <c r="U958" s="1"/>
    </row>
    <row r="959" spans="1:21" ht="15.75" customHeight="1" x14ac:dyDescent="0.2">
      <c r="A959" s="1"/>
      <c r="B959" s="1"/>
      <c r="C959" s="6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1"/>
      <c r="T959" s="1"/>
      <c r="U959" s="1"/>
    </row>
    <row r="960" spans="1:21" ht="15.75" customHeight="1" x14ac:dyDescent="0.2">
      <c r="A960" s="1"/>
      <c r="B960" s="1"/>
      <c r="C960" s="6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1"/>
      <c r="T960" s="1"/>
      <c r="U960" s="1"/>
    </row>
    <row r="961" spans="1:21" ht="15.75" customHeight="1" x14ac:dyDescent="0.2">
      <c r="A961" s="1"/>
      <c r="B961" s="1"/>
      <c r="C961" s="6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1"/>
      <c r="T961" s="1"/>
      <c r="U961" s="1"/>
    </row>
    <row r="962" spans="1:21" ht="15.75" customHeight="1" x14ac:dyDescent="0.2">
      <c r="A962" s="1"/>
      <c r="B962" s="1"/>
      <c r="C962" s="6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1"/>
      <c r="T962" s="1"/>
      <c r="U962" s="1"/>
    </row>
    <row r="963" spans="1:21" ht="15.75" customHeight="1" x14ac:dyDescent="0.2">
      <c r="A963" s="1"/>
      <c r="B963" s="1"/>
      <c r="C963" s="6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1"/>
      <c r="T963" s="1"/>
      <c r="U963" s="1"/>
    </row>
    <row r="964" spans="1:21" ht="15.75" customHeight="1" x14ac:dyDescent="0.2">
      <c r="A964" s="1"/>
      <c r="B964" s="1"/>
      <c r="C964" s="6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1"/>
      <c r="T964" s="1"/>
      <c r="U964" s="1"/>
    </row>
    <row r="965" spans="1:21" ht="15.75" customHeight="1" x14ac:dyDescent="0.2">
      <c r="A965" s="1"/>
      <c r="B965" s="1"/>
      <c r="C965" s="6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1"/>
      <c r="T965" s="1"/>
      <c r="U965" s="1"/>
    </row>
    <row r="966" spans="1:21" ht="15.75" customHeight="1" x14ac:dyDescent="0.2">
      <c r="A966" s="1"/>
      <c r="B966" s="1"/>
      <c r="C966" s="6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1"/>
      <c r="T966" s="1"/>
      <c r="U966" s="1"/>
    </row>
    <row r="967" spans="1:21" ht="15.75" customHeight="1" x14ac:dyDescent="0.2">
      <c r="A967" s="1"/>
      <c r="B967" s="1"/>
      <c r="C967" s="6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1"/>
      <c r="T967" s="1"/>
      <c r="U967" s="1"/>
    </row>
    <row r="968" spans="1:21" ht="15.75" customHeight="1" x14ac:dyDescent="0.2">
      <c r="A968" s="1"/>
      <c r="B968" s="1"/>
      <c r="C968" s="6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1"/>
      <c r="T968" s="1"/>
      <c r="U968" s="1"/>
    </row>
    <row r="969" spans="1:21" ht="15.75" customHeight="1" x14ac:dyDescent="0.2">
      <c r="A969" s="1"/>
      <c r="B969" s="1"/>
      <c r="C969" s="6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1"/>
      <c r="T969" s="1"/>
      <c r="U969" s="1"/>
    </row>
    <row r="970" spans="1:21" ht="15.75" customHeight="1" x14ac:dyDescent="0.2">
      <c r="A970" s="1"/>
      <c r="B970" s="1"/>
      <c r="C970" s="6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1"/>
      <c r="T970" s="1"/>
      <c r="U970" s="1"/>
    </row>
    <row r="971" spans="1:21" ht="15.75" customHeight="1" x14ac:dyDescent="0.2">
      <c r="A971" s="1"/>
      <c r="B971" s="1"/>
      <c r="C971" s="6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1"/>
      <c r="T971" s="1"/>
      <c r="U971" s="1"/>
    </row>
    <row r="972" spans="1:21" ht="15.75" customHeight="1" x14ac:dyDescent="0.2">
      <c r="A972" s="1"/>
      <c r="B972" s="1"/>
      <c r="C972" s="6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1"/>
      <c r="T972" s="1"/>
      <c r="U972" s="1"/>
    </row>
    <row r="973" spans="1:21" ht="15.75" customHeight="1" x14ac:dyDescent="0.2">
      <c r="A973" s="1"/>
      <c r="B973" s="1"/>
      <c r="C973" s="6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1"/>
      <c r="T973" s="1"/>
      <c r="U973" s="1"/>
    </row>
    <row r="974" spans="1:21" ht="15.75" customHeight="1" x14ac:dyDescent="0.2">
      <c r="A974" s="1"/>
      <c r="B974" s="1"/>
      <c r="C974" s="6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1"/>
      <c r="T974" s="1"/>
      <c r="U974" s="1"/>
    </row>
    <row r="975" spans="1:21" ht="15.75" customHeight="1" x14ac:dyDescent="0.2">
      <c r="A975" s="1"/>
      <c r="B975" s="1"/>
      <c r="C975" s="6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1"/>
      <c r="T975" s="1"/>
      <c r="U975" s="1"/>
    </row>
    <row r="976" spans="1:21" ht="15.75" customHeight="1" x14ac:dyDescent="0.2">
      <c r="A976" s="1"/>
      <c r="B976" s="1"/>
      <c r="C976" s="6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1"/>
      <c r="T976" s="1"/>
      <c r="U976" s="1"/>
    </row>
    <row r="977" spans="1:21" ht="15.75" customHeight="1" x14ac:dyDescent="0.2">
      <c r="A977" s="1"/>
      <c r="B977" s="1"/>
      <c r="C977" s="6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1"/>
      <c r="T977" s="1"/>
      <c r="U977" s="1"/>
    </row>
    <row r="978" spans="1:21" ht="15.75" customHeight="1" x14ac:dyDescent="0.2">
      <c r="A978" s="1"/>
      <c r="B978" s="1"/>
      <c r="C978" s="6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1"/>
      <c r="T978" s="1"/>
      <c r="U978" s="1"/>
    </row>
    <row r="979" spans="1:21" ht="15.75" customHeight="1" x14ac:dyDescent="0.2">
      <c r="A979" s="1"/>
      <c r="B979" s="1"/>
      <c r="C979" s="6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1"/>
      <c r="T979" s="1"/>
      <c r="U979" s="1"/>
    </row>
    <row r="980" spans="1:21" ht="15.75" customHeight="1" x14ac:dyDescent="0.2">
      <c r="A980" s="1"/>
      <c r="B980" s="1"/>
      <c r="C980" s="6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1"/>
      <c r="T980" s="1"/>
      <c r="U980" s="1"/>
    </row>
    <row r="981" spans="1:21" ht="15.75" customHeight="1" x14ac:dyDescent="0.2">
      <c r="A981" s="1"/>
      <c r="B981" s="1"/>
      <c r="C981" s="6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1"/>
      <c r="T981" s="1"/>
      <c r="U981" s="1"/>
    </row>
    <row r="982" spans="1:21" ht="15.75" customHeight="1" x14ac:dyDescent="0.2">
      <c r="A982" s="1"/>
      <c r="B982" s="1"/>
      <c r="C982" s="6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1"/>
      <c r="T982" s="1"/>
      <c r="U982" s="1"/>
    </row>
    <row r="983" spans="1:21" ht="15.75" customHeight="1" x14ac:dyDescent="0.2">
      <c r="A983" s="1"/>
      <c r="B983" s="1"/>
      <c r="C983" s="6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1"/>
      <c r="T983" s="1"/>
      <c r="U983" s="1"/>
    </row>
    <row r="984" spans="1:21" ht="15.75" customHeight="1" x14ac:dyDescent="0.2">
      <c r="A984" s="1"/>
      <c r="B984" s="1"/>
      <c r="C984" s="6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1"/>
      <c r="T984" s="1"/>
      <c r="U984" s="1"/>
    </row>
    <row r="985" spans="1:21" ht="15.75" customHeight="1" x14ac:dyDescent="0.2">
      <c r="A985" s="1"/>
      <c r="B985" s="1"/>
      <c r="C985" s="6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1"/>
      <c r="T985" s="1"/>
      <c r="U985" s="1"/>
    </row>
    <row r="986" spans="1:21" ht="15.75" customHeight="1" x14ac:dyDescent="0.2">
      <c r="A986" s="1"/>
      <c r="B986" s="1"/>
      <c r="C986" s="6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1"/>
      <c r="T986" s="1"/>
      <c r="U986" s="1"/>
    </row>
    <row r="987" spans="1:21" ht="15.75" customHeight="1" x14ac:dyDescent="0.2">
      <c r="A987" s="1"/>
      <c r="B987" s="1"/>
      <c r="C987" s="6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1"/>
      <c r="T987" s="1"/>
      <c r="U987" s="1"/>
    </row>
    <row r="988" spans="1:21" ht="15.75" customHeight="1" x14ac:dyDescent="0.2">
      <c r="A988" s="1"/>
      <c r="B988" s="1"/>
      <c r="C988" s="6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1"/>
      <c r="T988" s="1"/>
      <c r="U988" s="1"/>
    </row>
    <row r="989" spans="1:21" ht="15.75" customHeight="1" x14ac:dyDescent="0.2">
      <c r="A989" s="1"/>
      <c r="B989" s="1"/>
      <c r="C989" s="6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1"/>
      <c r="T989" s="1"/>
      <c r="U989" s="1"/>
    </row>
    <row r="990" spans="1:21" ht="15.75" customHeight="1" x14ac:dyDescent="0.2">
      <c r="A990" s="1"/>
      <c r="B990" s="1"/>
      <c r="C990" s="6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1"/>
      <c r="T990" s="1"/>
      <c r="U990" s="1"/>
    </row>
    <row r="991" spans="1:21" ht="15.75" customHeight="1" x14ac:dyDescent="0.2">
      <c r="A991" s="1"/>
      <c r="B991" s="1"/>
      <c r="C991" s="6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1"/>
      <c r="T991" s="1"/>
      <c r="U991" s="1"/>
    </row>
    <row r="992" spans="1:21" ht="15.75" customHeight="1" x14ac:dyDescent="0.2">
      <c r="A992" s="1"/>
      <c r="B992" s="1"/>
      <c r="C992" s="6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1"/>
      <c r="T992" s="1"/>
      <c r="U992" s="1"/>
    </row>
    <row r="993" spans="1:21" ht="15.75" customHeight="1" x14ac:dyDescent="0.2">
      <c r="A993" s="1"/>
      <c r="B993" s="1"/>
      <c r="C993" s="6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1"/>
      <c r="T993" s="1"/>
      <c r="U993" s="1"/>
    </row>
    <row r="994" spans="1:21" ht="15.75" customHeight="1" x14ac:dyDescent="0.2">
      <c r="A994" s="1"/>
      <c r="B994" s="1"/>
      <c r="C994" s="6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1"/>
      <c r="T994" s="1"/>
      <c r="U994" s="1"/>
    </row>
    <row r="995" spans="1:21" ht="15.75" customHeight="1" x14ac:dyDescent="0.2">
      <c r="A995" s="1"/>
      <c r="B995" s="1"/>
      <c r="C995" s="6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1"/>
      <c r="T995" s="1"/>
      <c r="U995" s="1"/>
    </row>
    <row r="996" spans="1:21" ht="15.75" customHeight="1" x14ac:dyDescent="0.2">
      <c r="A996" s="1"/>
      <c r="B996" s="1"/>
      <c r="C996" s="6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1"/>
      <c r="T996" s="1"/>
      <c r="U996" s="1"/>
    </row>
    <row r="997" spans="1:21" ht="15.75" customHeight="1" x14ac:dyDescent="0.2">
      <c r="A997" s="1"/>
      <c r="B997" s="1"/>
      <c r="C997" s="6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1"/>
      <c r="T997" s="1"/>
      <c r="U997" s="1"/>
    </row>
    <row r="998" spans="1:21" ht="15.75" customHeight="1" x14ac:dyDescent="0.2">
      <c r="A998" s="1"/>
      <c r="B998" s="1"/>
      <c r="C998" s="6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1"/>
      <c r="T998" s="1"/>
      <c r="U998" s="1"/>
    </row>
    <row r="999" spans="1:21" ht="15.75" customHeight="1" x14ac:dyDescent="0.2">
      <c r="A999" s="1"/>
      <c r="B999" s="1"/>
      <c r="C999" s="6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1"/>
      <c r="T999" s="1"/>
      <c r="U999" s="1"/>
    </row>
  </sheetData>
  <autoFilter ref="A1:R209" xr:uid="{00000000-0009-0000-0000-000000000000}">
    <sortState xmlns:xlrd2="http://schemas.microsoft.com/office/spreadsheetml/2017/richdata2" ref="A2:R209">
      <sortCondition ref="A1:A209"/>
    </sortState>
  </autoFilter>
  <sortState xmlns:xlrd2="http://schemas.microsoft.com/office/spreadsheetml/2017/richdata2" ref="A2:U999">
    <sortCondition ref="B2:B999"/>
    <sortCondition ref="C2:C999"/>
    <sortCondition ref="A2:A999"/>
  </sortState>
  <pageMargins left="0.7" right="0.7" top="0.75" bottom="0.75" header="0" footer="0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Intermediate</vt:lpstr>
      <vt:lpstr>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Dalpiaz, F. (Fabiano)</cp:lastModifiedBy>
  <dcterms:created xsi:type="dcterms:W3CDTF">2022-11-14T08:52:42Z</dcterms:created>
  <dcterms:modified xsi:type="dcterms:W3CDTF">2024-10-25T19:28:05Z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